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dev\shipcards\data\"/>
    </mc:Choice>
  </mc:AlternateContent>
  <xr:revisionPtr revIDLastSave="0" documentId="13_ncr:1_{C2DBF084-5F97-4A3E-9EAF-813C3BB6A52C}" xr6:coauthVersionLast="46" xr6:coauthVersionMax="46" xr10:uidLastSave="{00000000-0000-0000-0000-000000000000}"/>
  <bookViews>
    <workbookView xWindow="-120" yWindow="-120" windowWidth="37710" windowHeight="21840" tabRatio="771" activeTab="7" xr2:uid="{F50BFA29-F894-47F8-8978-4D4DA77633D4}"/>
  </bookViews>
  <sheets>
    <sheet name="balance" sheetId="6" r:id="rId1"/>
    <sheet name="version" sheetId="8" r:id="rId2"/>
    <sheet name="effects" sheetId="2" r:id="rId3"/>
    <sheet name="military_assets" sheetId="1" r:id="rId4"/>
    <sheet name="actions" sheetId="3" r:id="rId5"/>
    <sheet name="territories" sheetId="5" r:id="rId6"/>
    <sheet name="mil_ass_all" sheetId="7" r:id="rId7"/>
    <sheet name="mil_ass_us_start" sheetId="12" r:id="rId8"/>
    <sheet name="mil_ass_ru_start" sheetId="15" r:id="rId9"/>
    <sheet name="actions_all" sheetId="10" r:id="rId10"/>
    <sheet name="actions_us_start" sheetId="13" r:id="rId11"/>
    <sheet name="actions_ru_start" sheetId="16" r:id="rId12"/>
    <sheet name="territories_all" sheetId="11" r:id="rId13"/>
    <sheet name="territories_us_start" sheetId="14" r:id="rId14"/>
    <sheet name="territories_ru_start" sheetId="17" r:id="rId1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 i="12" l="1"/>
  <c r="P1" i="12"/>
  <c r="O1" i="12"/>
  <c r="N1" i="12"/>
  <c r="M1" i="12"/>
  <c r="L1" i="12"/>
  <c r="K1" i="12"/>
  <c r="J1" i="12"/>
  <c r="I1" i="12"/>
  <c r="H1" i="12"/>
  <c r="G1" i="12"/>
  <c r="F1" i="12"/>
  <c r="E1" i="12"/>
  <c r="D1" i="12"/>
  <c r="K13" i="17" a="1"/>
  <c r="K13" i="17" s="1"/>
  <c r="J13" i="17" a="1"/>
  <c r="J13" i="17" s="1"/>
  <c r="I13" i="17" a="1"/>
  <c r="I13" i="17" s="1"/>
  <c r="H13" i="17"/>
  <c r="H13" i="17" a="1"/>
  <c r="G13" i="17" a="1"/>
  <c r="G13" i="17" s="1"/>
  <c r="F13" i="17" a="1"/>
  <c r="F13" i="17" s="1"/>
  <c r="E13" i="17" a="1"/>
  <c r="E13" i="17" s="1"/>
  <c r="D13" i="17"/>
  <c r="D13" i="17" a="1"/>
  <c r="K12" i="17" a="1"/>
  <c r="K12" i="17" s="1"/>
  <c r="J12" i="17" a="1"/>
  <c r="J12" i="17" s="1"/>
  <c r="I12" i="17" a="1"/>
  <c r="I12" i="17" s="1"/>
  <c r="H12" i="17"/>
  <c r="H12" i="17" a="1"/>
  <c r="G12" i="17" a="1"/>
  <c r="G12" i="17" s="1"/>
  <c r="F12" i="17" a="1"/>
  <c r="F12" i="17" s="1"/>
  <c r="E12" i="17" a="1"/>
  <c r="E12" i="17" s="1"/>
  <c r="D12" i="17"/>
  <c r="D12" i="17" a="1"/>
  <c r="K11" i="17" a="1"/>
  <c r="K11" i="17" s="1"/>
  <c r="J11" i="17" a="1"/>
  <c r="J11" i="17" s="1"/>
  <c r="I11" i="17" a="1"/>
  <c r="I11" i="17" s="1"/>
  <c r="H11" i="17"/>
  <c r="H11" i="17" a="1"/>
  <c r="G11" i="17" a="1"/>
  <c r="G11" i="17" s="1"/>
  <c r="F11" i="17" a="1"/>
  <c r="F11" i="17" s="1"/>
  <c r="E11" i="17" a="1"/>
  <c r="E11" i="17" s="1"/>
  <c r="D11" i="17"/>
  <c r="D11" i="17" a="1"/>
  <c r="K10" i="17" a="1"/>
  <c r="K10" i="17" s="1"/>
  <c r="J10" i="17" a="1"/>
  <c r="J10" i="17" s="1"/>
  <c r="I10" i="17" a="1"/>
  <c r="I10" i="17" s="1"/>
  <c r="H10" i="17"/>
  <c r="H10" i="17" a="1"/>
  <c r="G10" i="17" a="1"/>
  <c r="G10" i="17" s="1"/>
  <c r="F10" i="17" a="1"/>
  <c r="F10" i="17" s="1"/>
  <c r="E10" i="17" a="1"/>
  <c r="E10" i="17" s="1"/>
  <c r="D10" i="17"/>
  <c r="D10" i="17" a="1"/>
  <c r="K9" i="17" a="1"/>
  <c r="K9" i="17" s="1"/>
  <c r="J9" i="17" a="1"/>
  <c r="J9" i="17" s="1"/>
  <c r="I9" i="17" a="1"/>
  <c r="I9" i="17" s="1"/>
  <c r="H9" i="17"/>
  <c r="H9" i="17" a="1"/>
  <c r="G9" i="17" a="1"/>
  <c r="G9" i="17" s="1"/>
  <c r="F9" i="17" a="1"/>
  <c r="F9" i="17" s="1"/>
  <c r="E9" i="17" a="1"/>
  <c r="E9" i="17" s="1"/>
  <c r="D9" i="17"/>
  <c r="D9" i="17" a="1"/>
  <c r="K8" i="17" a="1"/>
  <c r="K8" i="17" s="1"/>
  <c r="J8" i="17" a="1"/>
  <c r="J8" i="17" s="1"/>
  <c r="I8" i="17" a="1"/>
  <c r="I8" i="17" s="1"/>
  <c r="H8" i="17"/>
  <c r="H8" i="17" a="1"/>
  <c r="G8" i="17" a="1"/>
  <c r="G8" i="17" s="1"/>
  <c r="F8" i="17" a="1"/>
  <c r="F8" i="17" s="1"/>
  <c r="E8" i="17" a="1"/>
  <c r="E8" i="17" s="1"/>
  <c r="D8" i="17"/>
  <c r="D8" i="17" a="1"/>
  <c r="K7" i="17" a="1"/>
  <c r="K7" i="17" s="1"/>
  <c r="J7" i="17" a="1"/>
  <c r="J7" i="17" s="1"/>
  <c r="I7" i="17" a="1"/>
  <c r="I7" i="17" s="1"/>
  <c r="H7" i="17"/>
  <c r="H7" i="17" a="1"/>
  <c r="G7" i="17" a="1"/>
  <c r="G7" i="17" s="1"/>
  <c r="F7" i="17" a="1"/>
  <c r="F7" i="17" s="1"/>
  <c r="E7" i="17" a="1"/>
  <c r="E7" i="17" s="1"/>
  <c r="D7" i="17"/>
  <c r="D7" i="17" a="1"/>
  <c r="K6" i="17" a="1"/>
  <c r="K6" i="17" s="1"/>
  <c r="J6" i="17" a="1"/>
  <c r="J6" i="17" s="1"/>
  <c r="I6" i="17" a="1"/>
  <c r="I6" i="17" s="1"/>
  <c r="H6" i="17"/>
  <c r="H6" i="17" a="1"/>
  <c r="G6" i="17" a="1"/>
  <c r="G6" i="17" s="1"/>
  <c r="F6" i="17" a="1"/>
  <c r="F6" i="17" s="1"/>
  <c r="E6" i="17" a="1"/>
  <c r="E6" i="17" s="1"/>
  <c r="D6" i="17"/>
  <c r="D6" i="17" a="1"/>
  <c r="K5" i="17" a="1"/>
  <c r="K5" i="17" s="1"/>
  <c r="J5" i="17" a="1"/>
  <c r="J5" i="17" s="1"/>
  <c r="I5" i="17" a="1"/>
  <c r="I5" i="17" s="1"/>
  <c r="H5" i="17"/>
  <c r="H5" i="17" a="1"/>
  <c r="G5" i="17" a="1"/>
  <c r="G5" i="17" s="1"/>
  <c r="F5" i="17" a="1"/>
  <c r="F5" i="17" s="1"/>
  <c r="E5" i="17" a="1"/>
  <c r="E5" i="17" s="1"/>
  <c r="D5" i="17"/>
  <c r="D5" i="17" a="1"/>
  <c r="K4" i="17" a="1"/>
  <c r="K4" i="17" s="1"/>
  <c r="J4" i="17" a="1"/>
  <c r="J4" i="17" s="1"/>
  <c r="I4" i="17" a="1"/>
  <c r="I4" i="17" s="1"/>
  <c r="H4" i="17"/>
  <c r="H4" i="17" a="1"/>
  <c r="G4" i="17" a="1"/>
  <c r="G4" i="17" s="1"/>
  <c r="F4" i="17" a="1"/>
  <c r="F4" i="17" s="1"/>
  <c r="E4" i="17" a="1"/>
  <c r="E4" i="17" s="1"/>
  <c r="D4" i="17"/>
  <c r="D4" i="17" a="1"/>
  <c r="K3" i="17" a="1"/>
  <c r="K3" i="17" s="1"/>
  <c r="J3" i="17" a="1"/>
  <c r="J3" i="17" s="1"/>
  <c r="I3" i="17" a="1"/>
  <c r="I3" i="17" s="1"/>
  <c r="H3" i="17"/>
  <c r="H3" i="17" a="1"/>
  <c r="G3" i="17" a="1"/>
  <c r="G3" i="17" s="1"/>
  <c r="F3" i="17" a="1"/>
  <c r="F3" i="17" s="1"/>
  <c r="E3" i="17" a="1"/>
  <c r="E3" i="17" s="1"/>
  <c r="D3" i="17"/>
  <c r="D3" i="17" a="1"/>
  <c r="K2" i="17" a="1"/>
  <c r="K2" i="17" s="1"/>
  <c r="J2" i="17" a="1"/>
  <c r="J2" i="17" s="1"/>
  <c r="I2" i="17" a="1"/>
  <c r="I2" i="17" s="1"/>
  <c r="H2" i="17"/>
  <c r="H2" i="17" a="1"/>
  <c r="G2" i="17" a="1"/>
  <c r="G2" i="17" s="1"/>
  <c r="F2" i="17" a="1"/>
  <c r="F2" i="17" s="1"/>
  <c r="E2" i="17" a="1"/>
  <c r="E2" i="17" s="1"/>
  <c r="D2" i="17" a="1"/>
  <c r="D2" i="17" s="1"/>
  <c r="K13" i="14" a="1"/>
  <c r="K13" i="14" s="1"/>
  <c r="J13" i="14"/>
  <c r="J13" i="14" a="1"/>
  <c r="I13" i="14" a="1"/>
  <c r="I13" i="14" s="1"/>
  <c r="H13" i="14"/>
  <c r="H13" i="14" a="1"/>
  <c r="G13" i="14" a="1"/>
  <c r="G13" i="14" s="1"/>
  <c r="F13" i="14" a="1"/>
  <c r="F13" i="14" s="1"/>
  <c r="E13" i="14" a="1"/>
  <c r="E13" i="14" s="1"/>
  <c r="D13" i="14"/>
  <c r="D13" i="14" a="1"/>
  <c r="K12" i="14" a="1"/>
  <c r="K12" i="14" s="1"/>
  <c r="J12" i="14"/>
  <c r="J12" i="14" a="1"/>
  <c r="I12" i="14" a="1"/>
  <c r="I12" i="14" s="1"/>
  <c r="H12" i="14"/>
  <c r="H12" i="14" a="1"/>
  <c r="G12" i="14" a="1"/>
  <c r="G12" i="14" s="1"/>
  <c r="F12" i="14" a="1"/>
  <c r="F12" i="14" s="1"/>
  <c r="E12" i="14" a="1"/>
  <c r="E12" i="14" s="1"/>
  <c r="D12" i="14"/>
  <c r="D12" i="14" a="1"/>
  <c r="K11" i="14" a="1"/>
  <c r="K11" i="14" s="1"/>
  <c r="J11" i="14"/>
  <c r="J11" i="14" a="1"/>
  <c r="I11" i="14" a="1"/>
  <c r="I11" i="14" s="1"/>
  <c r="H11" i="14"/>
  <c r="H11" i="14" a="1"/>
  <c r="G11" i="14" a="1"/>
  <c r="G11" i="14" s="1"/>
  <c r="F11" i="14" a="1"/>
  <c r="F11" i="14" s="1"/>
  <c r="E11" i="14" a="1"/>
  <c r="E11" i="14" s="1"/>
  <c r="D11" i="14"/>
  <c r="D11" i="14" a="1"/>
  <c r="K10" i="14" a="1"/>
  <c r="K10" i="14" s="1"/>
  <c r="J10" i="14"/>
  <c r="J10" i="14" a="1"/>
  <c r="I10" i="14" a="1"/>
  <c r="I10" i="14" s="1"/>
  <c r="H10" i="14"/>
  <c r="H10" i="14" a="1"/>
  <c r="G10" i="14" a="1"/>
  <c r="G10" i="14" s="1"/>
  <c r="F10" i="14" a="1"/>
  <c r="F10" i="14" s="1"/>
  <c r="E10" i="14" a="1"/>
  <c r="E10" i="14" s="1"/>
  <c r="D10" i="14"/>
  <c r="D10" i="14" a="1"/>
  <c r="K9" i="14" a="1"/>
  <c r="K9" i="14" s="1"/>
  <c r="J9" i="14"/>
  <c r="J9" i="14" a="1"/>
  <c r="I9" i="14" a="1"/>
  <c r="I9" i="14" s="1"/>
  <c r="H9" i="14"/>
  <c r="H9" i="14" a="1"/>
  <c r="G9" i="14" a="1"/>
  <c r="G9" i="14" s="1"/>
  <c r="F9" i="14" a="1"/>
  <c r="F9" i="14" s="1"/>
  <c r="E9" i="14" a="1"/>
  <c r="E9" i="14" s="1"/>
  <c r="D9" i="14"/>
  <c r="D9" i="14" a="1"/>
  <c r="K8" i="14" a="1"/>
  <c r="K8" i="14" s="1"/>
  <c r="J8" i="14"/>
  <c r="J8" i="14" a="1"/>
  <c r="I8" i="14" a="1"/>
  <c r="I8" i="14" s="1"/>
  <c r="H8" i="14"/>
  <c r="H8" i="14" a="1"/>
  <c r="G8" i="14" a="1"/>
  <c r="G8" i="14" s="1"/>
  <c r="F8" i="14" a="1"/>
  <c r="F8" i="14" s="1"/>
  <c r="E8" i="14" a="1"/>
  <c r="E8" i="14" s="1"/>
  <c r="D8" i="14"/>
  <c r="D8" i="14" a="1"/>
  <c r="K7" i="14" a="1"/>
  <c r="K7" i="14" s="1"/>
  <c r="J7" i="14"/>
  <c r="J7" i="14" a="1"/>
  <c r="I7" i="14" a="1"/>
  <c r="I7" i="14" s="1"/>
  <c r="H7" i="14"/>
  <c r="H7" i="14" a="1"/>
  <c r="G7" i="14" a="1"/>
  <c r="G7" i="14" s="1"/>
  <c r="F7" i="14" a="1"/>
  <c r="F7" i="14" s="1"/>
  <c r="E7" i="14" a="1"/>
  <c r="E7" i="14" s="1"/>
  <c r="D7" i="14"/>
  <c r="D7" i="14" a="1"/>
  <c r="K6" i="14" a="1"/>
  <c r="K6" i="14" s="1"/>
  <c r="J6" i="14" a="1"/>
  <c r="J6" i="14" s="1"/>
  <c r="I6" i="14" a="1"/>
  <c r="I6" i="14" s="1"/>
  <c r="H6" i="14"/>
  <c r="H6" i="14" a="1"/>
  <c r="G6" i="14" a="1"/>
  <c r="G6" i="14" s="1"/>
  <c r="F6" i="14" a="1"/>
  <c r="F6" i="14" s="1"/>
  <c r="E6" i="14" a="1"/>
  <c r="E6" i="14" s="1"/>
  <c r="D6" i="14"/>
  <c r="D6" i="14" a="1"/>
  <c r="K5" i="14" a="1"/>
  <c r="K5" i="14" s="1"/>
  <c r="J5" i="14" a="1"/>
  <c r="J5" i="14" s="1"/>
  <c r="I5" i="14" a="1"/>
  <c r="I5" i="14" s="1"/>
  <c r="H5" i="14" a="1"/>
  <c r="H5" i="14" s="1"/>
  <c r="G5" i="14" a="1"/>
  <c r="G5" i="14" s="1"/>
  <c r="F5" i="14" a="1"/>
  <c r="F5" i="14" s="1"/>
  <c r="E5" i="14" a="1"/>
  <c r="E5" i="14" s="1"/>
  <c r="D5" i="14"/>
  <c r="D5" i="14" a="1"/>
  <c r="K4" i="14" a="1"/>
  <c r="K4" i="14" s="1"/>
  <c r="J4" i="14" a="1"/>
  <c r="J4" i="14" s="1"/>
  <c r="I4" i="14" a="1"/>
  <c r="I4" i="14" s="1"/>
  <c r="H4" i="14" a="1"/>
  <c r="H4" i="14" s="1"/>
  <c r="G4" i="14" a="1"/>
  <c r="G4" i="14" s="1"/>
  <c r="F4" i="14" a="1"/>
  <c r="F4" i="14" s="1"/>
  <c r="E4" i="14" a="1"/>
  <c r="E4" i="14" s="1"/>
  <c r="D4" i="14"/>
  <c r="D4" i="14" a="1"/>
  <c r="K3" i="14" a="1"/>
  <c r="K3" i="14" s="1"/>
  <c r="J3" i="14" a="1"/>
  <c r="J3" i="14" s="1"/>
  <c r="I3" i="14" a="1"/>
  <c r="I3" i="14" s="1"/>
  <c r="H3" i="14" a="1"/>
  <c r="H3" i="14" s="1"/>
  <c r="G3" i="14" a="1"/>
  <c r="G3" i="14" s="1"/>
  <c r="F3" i="14" a="1"/>
  <c r="F3" i="14" s="1"/>
  <c r="E3" i="14" a="1"/>
  <c r="E3" i="14" s="1"/>
  <c r="D3" i="14"/>
  <c r="D3" i="14" a="1"/>
  <c r="K2" i="14" a="1"/>
  <c r="K2" i="14" s="1"/>
  <c r="J2" i="14" a="1"/>
  <c r="J2" i="14" s="1"/>
  <c r="I2" i="14" a="1"/>
  <c r="I2" i="14" s="1"/>
  <c r="H2" i="14" a="1"/>
  <c r="H2" i="14" s="1"/>
  <c r="G2" i="14" a="1"/>
  <c r="G2" i="14" s="1"/>
  <c r="F2" i="14" a="1"/>
  <c r="F2" i="14" s="1"/>
  <c r="E2" i="14" a="1"/>
  <c r="E2" i="14" s="1"/>
  <c r="D2" i="14" a="1"/>
  <c r="D2" i="14" s="1"/>
  <c r="K25" i="11" a="1"/>
  <c r="K25" i="11" s="1"/>
  <c r="J25" i="11"/>
  <c r="J25" i="11" a="1"/>
  <c r="I25" i="11" a="1"/>
  <c r="I25" i="11" s="1"/>
  <c r="H25" i="11"/>
  <c r="H25" i="11" a="1"/>
  <c r="G25" i="11" a="1"/>
  <c r="G25" i="11" s="1"/>
  <c r="F25" i="11" a="1"/>
  <c r="F25" i="11" s="1"/>
  <c r="E25" i="11" a="1"/>
  <c r="E25" i="11" s="1"/>
  <c r="D25" i="11"/>
  <c r="D25" i="11" a="1"/>
  <c r="K24" i="11" a="1"/>
  <c r="K24" i="11" s="1"/>
  <c r="J24" i="11"/>
  <c r="J24" i="11" a="1"/>
  <c r="I24" i="11" a="1"/>
  <c r="I24" i="11" s="1"/>
  <c r="H24" i="11"/>
  <c r="H24" i="11" a="1"/>
  <c r="G24" i="11" a="1"/>
  <c r="G24" i="11" s="1"/>
  <c r="F24" i="11" a="1"/>
  <c r="F24" i="11" s="1"/>
  <c r="E24" i="11" a="1"/>
  <c r="E24" i="11" s="1"/>
  <c r="D24" i="11"/>
  <c r="D24" i="11" a="1"/>
  <c r="K23" i="11" a="1"/>
  <c r="K23" i="11" s="1"/>
  <c r="J23" i="11"/>
  <c r="J23" i="11" a="1"/>
  <c r="I23" i="11" a="1"/>
  <c r="I23" i="11" s="1"/>
  <c r="H23" i="11"/>
  <c r="H23" i="11" a="1"/>
  <c r="G23" i="11" a="1"/>
  <c r="G23" i="11" s="1"/>
  <c r="F23" i="11" a="1"/>
  <c r="F23" i="11" s="1"/>
  <c r="E23" i="11" a="1"/>
  <c r="E23" i="11" s="1"/>
  <c r="D23" i="11"/>
  <c r="D23" i="11" a="1"/>
  <c r="K22" i="11" a="1"/>
  <c r="K22" i="11" s="1"/>
  <c r="J22" i="11"/>
  <c r="J22" i="11" a="1"/>
  <c r="I22" i="11" a="1"/>
  <c r="I22" i="11" s="1"/>
  <c r="H22" i="11"/>
  <c r="H22" i="11" a="1"/>
  <c r="G22" i="11" a="1"/>
  <c r="G22" i="11" s="1"/>
  <c r="F22" i="11" a="1"/>
  <c r="F22" i="11" s="1"/>
  <c r="E22" i="11" a="1"/>
  <c r="E22" i="11" s="1"/>
  <c r="D22" i="11"/>
  <c r="D22" i="11" a="1"/>
  <c r="K21" i="11" a="1"/>
  <c r="K21" i="11" s="1"/>
  <c r="J21" i="11"/>
  <c r="J21" i="11" a="1"/>
  <c r="I21" i="11" a="1"/>
  <c r="I21" i="11" s="1"/>
  <c r="H21" i="11"/>
  <c r="H21" i="11" a="1"/>
  <c r="G21" i="11" a="1"/>
  <c r="G21" i="11" s="1"/>
  <c r="F21" i="11" a="1"/>
  <c r="F21" i="11" s="1"/>
  <c r="E21" i="11" a="1"/>
  <c r="E21" i="11" s="1"/>
  <c r="D21" i="11"/>
  <c r="D21" i="11" a="1"/>
  <c r="K20" i="11" a="1"/>
  <c r="K20" i="11" s="1"/>
  <c r="J20" i="11"/>
  <c r="J20" i="11" a="1"/>
  <c r="I20" i="11" a="1"/>
  <c r="I20" i="11" s="1"/>
  <c r="H20" i="11"/>
  <c r="H20" i="11" a="1"/>
  <c r="G20" i="11" a="1"/>
  <c r="G20" i="11" s="1"/>
  <c r="F20" i="11" a="1"/>
  <c r="F20" i="11" s="1"/>
  <c r="E20" i="11" a="1"/>
  <c r="E20" i="11" s="1"/>
  <c r="D20" i="11"/>
  <c r="D20" i="11" a="1"/>
  <c r="K19" i="11" a="1"/>
  <c r="K19" i="11" s="1"/>
  <c r="J19" i="11"/>
  <c r="J19" i="11" a="1"/>
  <c r="I19" i="11" a="1"/>
  <c r="I19" i="11" s="1"/>
  <c r="H19" i="11"/>
  <c r="H19" i="11" a="1"/>
  <c r="G19" i="11" a="1"/>
  <c r="G19" i="11" s="1"/>
  <c r="F19" i="11" a="1"/>
  <c r="F19" i="11" s="1"/>
  <c r="E19" i="11" a="1"/>
  <c r="E19" i="11" s="1"/>
  <c r="D19" i="11"/>
  <c r="D19" i="11" a="1"/>
  <c r="K18" i="11" a="1"/>
  <c r="K18" i="11" s="1"/>
  <c r="J18" i="11"/>
  <c r="J18" i="11" a="1"/>
  <c r="I18" i="11" a="1"/>
  <c r="I18" i="11" s="1"/>
  <c r="H18" i="11"/>
  <c r="H18" i="11" a="1"/>
  <c r="G18" i="11" a="1"/>
  <c r="G18" i="11" s="1"/>
  <c r="F18" i="11" a="1"/>
  <c r="F18" i="11" s="1"/>
  <c r="E18" i="11" a="1"/>
  <c r="E18" i="11" s="1"/>
  <c r="D18" i="11"/>
  <c r="D18" i="11" a="1"/>
  <c r="K17" i="11" a="1"/>
  <c r="K17" i="11" s="1"/>
  <c r="J17" i="11"/>
  <c r="J17" i="11" a="1"/>
  <c r="I17" i="11" a="1"/>
  <c r="I17" i="11" s="1"/>
  <c r="H17" i="11"/>
  <c r="H17" i="11" a="1"/>
  <c r="G17" i="11" a="1"/>
  <c r="G17" i="11" s="1"/>
  <c r="F17" i="11" a="1"/>
  <c r="F17" i="11" s="1"/>
  <c r="E17" i="11" a="1"/>
  <c r="E17" i="11" s="1"/>
  <c r="D17" i="11"/>
  <c r="D17" i="11" a="1"/>
  <c r="K16" i="11" a="1"/>
  <c r="K16" i="11" s="1"/>
  <c r="J16" i="11"/>
  <c r="J16" i="11" a="1"/>
  <c r="I16" i="11" a="1"/>
  <c r="I16" i="11" s="1"/>
  <c r="H16" i="11"/>
  <c r="H16" i="11" a="1"/>
  <c r="G16" i="11" a="1"/>
  <c r="G16" i="11" s="1"/>
  <c r="F16" i="11" a="1"/>
  <c r="F16" i="11" s="1"/>
  <c r="E16" i="11" a="1"/>
  <c r="E16" i="11" s="1"/>
  <c r="D16" i="11"/>
  <c r="D16" i="11" a="1"/>
  <c r="K15" i="11" a="1"/>
  <c r="K15" i="11" s="1"/>
  <c r="J15" i="11"/>
  <c r="J15" i="11" a="1"/>
  <c r="I15" i="11" a="1"/>
  <c r="I15" i="11" s="1"/>
  <c r="H15" i="11"/>
  <c r="H15" i="11" a="1"/>
  <c r="G15" i="11" a="1"/>
  <c r="G15" i="11" s="1"/>
  <c r="F15" i="11" a="1"/>
  <c r="F15" i="11" s="1"/>
  <c r="E15" i="11" a="1"/>
  <c r="E15" i="11" s="1"/>
  <c r="D15" i="11"/>
  <c r="D15" i="11" a="1"/>
  <c r="K14" i="11" a="1"/>
  <c r="K14" i="11" s="1"/>
  <c r="J14" i="11"/>
  <c r="J14" i="11" a="1"/>
  <c r="I14" i="11" a="1"/>
  <c r="I14" i="11" s="1"/>
  <c r="H14" i="11"/>
  <c r="H14" i="11" a="1"/>
  <c r="G14" i="11" a="1"/>
  <c r="G14" i="11" s="1"/>
  <c r="F14" i="11" a="1"/>
  <c r="F14" i="11" s="1"/>
  <c r="E14" i="11" a="1"/>
  <c r="E14" i="11" s="1"/>
  <c r="D14" i="11"/>
  <c r="D14" i="11" a="1"/>
  <c r="K13" i="11" a="1"/>
  <c r="K13" i="11" s="1"/>
  <c r="J13" i="11"/>
  <c r="J13" i="11" a="1"/>
  <c r="I13" i="11" a="1"/>
  <c r="I13" i="11" s="1"/>
  <c r="H13" i="11"/>
  <c r="H13" i="11" a="1"/>
  <c r="G13" i="11" a="1"/>
  <c r="G13" i="11" s="1"/>
  <c r="F13" i="11" a="1"/>
  <c r="F13" i="11" s="1"/>
  <c r="E13" i="11" a="1"/>
  <c r="E13" i="11" s="1"/>
  <c r="D13" i="11"/>
  <c r="D13" i="11" a="1"/>
  <c r="K12" i="11" a="1"/>
  <c r="K12" i="11" s="1"/>
  <c r="J12" i="11"/>
  <c r="J12" i="11" a="1"/>
  <c r="I12" i="11" a="1"/>
  <c r="I12" i="11" s="1"/>
  <c r="H12" i="11"/>
  <c r="H12" i="11" a="1"/>
  <c r="G12" i="11" a="1"/>
  <c r="G12" i="11" s="1"/>
  <c r="F12" i="11" a="1"/>
  <c r="F12" i="11" s="1"/>
  <c r="E12" i="11" a="1"/>
  <c r="E12" i="11" s="1"/>
  <c r="D12" i="11"/>
  <c r="D12" i="11" a="1"/>
  <c r="K11" i="11" a="1"/>
  <c r="K11" i="11" s="1"/>
  <c r="J11" i="11"/>
  <c r="J11" i="11" a="1"/>
  <c r="I11" i="11" a="1"/>
  <c r="I11" i="11" s="1"/>
  <c r="H11" i="11"/>
  <c r="H11" i="11" a="1"/>
  <c r="G11" i="11" a="1"/>
  <c r="G11" i="11" s="1"/>
  <c r="F11" i="11" a="1"/>
  <c r="F11" i="11" s="1"/>
  <c r="E11" i="11" a="1"/>
  <c r="E11" i="11" s="1"/>
  <c r="D11" i="11"/>
  <c r="D11" i="11" a="1"/>
  <c r="K10" i="11" a="1"/>
  <c r="K10" i="11" s="1"/>
  <c r="J10" i="11"/>
  <c r="J10" i="11" a="1"/>
  <c r="I10" i="11" a="1"/>
  <c r="I10" i="11" s="1"/>
  <c r="H10" i="11"/>
  <c r="H10" i="11" a="1"/>
  <c r="G10" i="11" a="1"/>
  <c r="G10" i="11" s="1"/>
  <c r="F10" i="11" a="1"/>
  <c r="F10" i="11" s="1"/>
  <c r="E10" i="11" a="1"/>
  <c r="E10" i="11" s="1"/>
  <c r="D10" i="11"/>
  <c r="D10" i="11" a="1"/>
  <c r="K9" i="11" a="1"/>
  <c r="K9" i="11" s="1"/>
  <c r="J9" i="11"/>
  <c r="J9" i="11" a="1"/>
  <c r="I9" i="11" a="1"/>
  <c r="I9" i="11" s="1"/>
  <c r="H9" i="11"/>
  <c r="H9" i="11" a="1"/>
  <c r="G9" i="11" a="1"/>
  <c r="G9" i="11" s="1"/>
  <c r="F9" i="11" a="1"/>
  <c r="F9" i="11" s="1"/>
  <c r="E9" i="11" a="1"/>
  <c r="E9" i="11" s="1"/>
  <c r="D9" i="11"/>
  <c r="D9" i="11" a="1"/>
  <c r="K8" i="11" a="1"/>
  <c r="K8" i="11" s="1"/>
  <c r="J8" i="11"/>
  <c r="J8" i="11" a="1"/>
  <c r="I8" i="11" a="1"/>
  <c r="I8" i="11" s="1"/>
  <c r="H8" i="11"/>
  <c r="H8" i="11" a="1"/>
  <c r="G8" i="11" a="1"/>
  <c r="G8" i="11" s="1"/>
  <c r="F8" i="11" a="1"/>
  <c r="F8" i="11" s="1"/>
  <c r="E8" i="11" a="1"/>
  <c r="E8" i="11" s="1"/>
  <c r="D8" i="11"/>
  <c r="D8" i="11" a="1"/>
  <c r="K7" i="11" a="1"/>
  <c r="K7" i="11" s="1"/>
  <c r="J7" i="11"/>
  <c r="J7" i="11" a="1"/>
  <c r="I7" i="11" a="1"/>
  <c r="I7" i="11" s="1"/>
  <c r="H7" i="11"/>
  <c r="H7" i="11" a="1"/>
  <c r="G7" i="11" a="1"/>
  <c r="G7" i="11" s="1"/>
  <c r="F7" i="11" a="1"/>
  <c r="F7" i="11" s="1"/>
  <c r="E7" i="11" a="1"/>
  <c r="E7" i="11" s="1"/>
  <c r="D7" i="11"/>
  <c r="D7" i="11" a="1"/>
  <c r="K6" i="11" a="1"/>
  <c r="K6" i="11" s="1"/>
  <c r="J6" i="11"/>
  <c r="J6" i="11" a="1"/>
  <c r="I6" i="11" a="1"/>
  <c r="I6" i="11" s="1"/>
  <c r="H6" i="11"/>
  <c r="H6" i="11" a="1"/>
  <c r="G6" i="11" a="1"/>
  <c r="G6" i="11" s="1"/>
  <c r="F6" i="11" a="1"/>
  <c r="F6" i="11" s="1"/>
  <c r="E6" i="11" a="1"/>
  <c r="E6" i="11" s="1"/>
  <c r="D6" i="11"/>
  <c r="D6" i="11" a="1"/>
  <c r="K5" i="11" a="1"/>
  <c r="K5" i="11" s="1"/>
  <c r="J5" i="11"/>
  <c r="J5" i="11" a="1"/>
  <c r="I5" i="11" a="1"/>
  <c r="I5" i="11" s="1"/>
  <c r="H5" i="11"/>
  <c r="H5" i="11" a="1"/>
  <c r="G5" i="11" a="1"/>
  <c r="G5" i="11" s="1"/>
  <c r="F5" i="11" a="1"/>
  <c r="F5" i="11" s="1"/>
  <c r="E5" i="11" a="1"/>
  <c r="E5" i="11" s="1"/>
  <c r="D5" i="11"/>
  <c r="D5" i="11" a="1"/>
  <c r="K4" i="11" a="1"/>
  <c r="K4" i="11" s="1"/>
  <c r="J4" i="11"/>
  <c r="J4" i="11" a="1"/>
  <c r="I4" i="11" a="1"/>
  <c r="I4" i="11" s="1"/>
  <c r="H4" i="11"/>
  <c r="H4" i="11" a="1"/>
  <c r="G4" i="11" a="1"/>
  <c r="G4" i="11" s="1"/>
  <c r="F4" i="11" a="1"/>
  <c r="F4" i="11" s="1"/>
  <c r="E4" i="11" a="1"/>
  <c r="E4" i="11" s="1"/>
  <c r="D4" i="11"/>
  <c r="D4" i="11" a="1"/>
  <c r="K3" i="11" a="1"/>
  <c r="K3" i="11" s="1"/>
  <c r="J3" i="11"/>
  <c r="J3" i="11" a="1"/>
  <c r="I3" i="11" a="1"/>
  <c r="I3" i="11" s="1"/>
  <c r="H3" i="11"/>
  <c r="H3" i="11" a="1"/>
  <c r="G3" i="11" a="1"/>
  <c r="G3" i="11" s="1"/>
  <c r="F3" i="11" a="1"/>
  <c r="F3" i="11" s="1"/>
  <c r="E3" i="11" a="1"/>
  <c r="E3" i="11" s="1"/>
  <c r="D3" i="11"/>
  <c r="D3" i="11" a="1"/>
  <c r="K2" i="11" a="1"/>
  <c r="K2" i="11" s="1"/>
  <c r="J2" i="11"/>
  <c r="J2" i="11" a="1"/>
  <c r="I2" i="11" a="1"/>
  <c r="I2" i="11" s="1"/>
  <c r="H2" i="11"/>
  <c r="H2" i="11" a="1"/>
  <c r="G2" i="11" a="1"/>
  <c r="G2" i="11" s="1"/>
  <c r="F2" i="11" a="1"/>
  <c r="F2" i="11" s="1"/>
  <c r="E2" i="11" a="1"/>
  <c r="E2" i="11" s="1"/>
  <c r="D2" i="11" a="1"/>
  <c r="D2" i="11"/>
  <c r="J22" i="16" a="1"/>
  <c r="J22" i="16" s="1"/>
  <c r="I22" i="16" a="1"/>
  <c r="I22" i="16" s="1"/>
  <c r="H22" i="16" a="1"/>
  <c r="H22" i="16" s="1"/>
  <c r="G22" i="16"/>
  <c r="G22" i="16" a="1"/>
  <c r="F22" i="16" a="1"/>
  <c r="F22" i="16" s="1"/>
  <c r="E22" i="16" a="1"/>
  <c r="E22" i="16" s="1"/>
  <c r="D22" i="16" a="1"/>
  <c r="D22" i="16" s="1"/>
  <c r="J21" i="16"/>
  <c r="J21" i="16" a="1"/>
  <c r="I21" i="16" a="1"/>
  <c r="I21" i="16" s="1"/>
  <c r="H21" i="16" a="1"/>
  <c r="H21" i="16" s="1"/>
  <c r="G21" i="16" a="1"/>
  <c r="G21" i="16" s="1"/>
  <c r="F21" i="16"/>
  <c r="F21" i="16" a="1"/>
  <c r="E21" i="16" a="1"/>
  <c r="E21" i="16" s="1"/>
  <c r="D21" i="16" a="1"/>
  <c r="D21" i="16" s="1"/>
  <c r="J20" i="16" a="1"/>
  <c r="J20" i="16" s="1"/>
  <c r="I20" i="16"/>
  <c r="I20" i="16" a="1"/>
  <c r="H20" i="16" a="1"/>
  <c r="H20" i="16" s="1"/>
  <c r="G20" i="16" a="1"/>
  <c r="G20" i="16" s="1"/>
  <c r="F20" i="16" a="1"/>
  <c r="F20" i="16" s="1"/>
  <c r="E20" i="16"/>
  <c r="E20" i="16" a="1"/>
  <c r="D20" i="16" a="1"/>
  <c r="D20" i="16" s="1"/>
  <c r="J19" i="16" a="1"/>
  <c r="J19" i="16" s="1"/>
  <c r="I19" i="16" a="1"/>
  <c r="I19" i="16" s="1"/>
  <c r="H19" i="16"/>
  <c r="H19" i="16" a="1"/>
  <c r="G19" i="16" a="1"/>
  <c r="G19" i="16" s="1"/>
  <c r="F19" i="16" a="1"/>
  <c r="F19" i="16" s="1"/>
  <c r="E19" i="16" a="1"/>
  <c r="E19" i="16" s="1"/>
  <c r="D19" i="16"/>
  <c r="D19" i="16" a="1"/>
  <c r="J18" i="16" a="1"/>
  <c r="J18" i="16" s="1"/>
  <c r="I18" i="16" a="1"/>
  <c r="I18" i="16" s="1"/>
  <c r="H18" i="16" a="1"/>
  <c r="H18" i="16" s="1"/>
  <c r="G18" i="16"/>
  <c r="G18" i="16" a="1"/>
  <c r="F18" i="16" a="1"/>
  <c r="F18" i="16" s="1"/>
  <c r="E18" i="16" a="1"/>
  <c r="E18" i="16" s="1"/>
  <c r="D18" i="16" a="1"/>
  <c r="D18" i="16" s="1"/>
  <c r="J17" i="16"/>
  <c r="J17" i="16" a="1"/>
  <c r="I17" i="16" a="1"/>
  <c r="I17" i="16" s="1"/>
  <c r="H17" i="16" a="1"/>
  <c r="H17" i="16" s="1"/>
  <c r="G17" i="16" a="1"/>
  <c r="G17" i="16" s="1"/>
  <c r="F17" i="16"/>
  <c r="F17" i="16" a="1"/>
  <c r="E17" i="16" a="1"/>
  <c r="E17" i="16" s="1"/>
  <c r="D17" i="16" a="1"/>
  <c r="D17" i="16" s="1"/>
  <c r="J16" i="16" a="1"/>
  <c r="J16" i="16" s="1"/>
  <c r="I16" i="16"/>
  <c r="I16" i="16" a="1"/>
  <c r="H16" i="16" a="1"/>
  <c r="H16" i="16" s="1"/>
  <c r="G16" i="16" a="1"/>
  <c r="G16" i="16" s="1"/>
  <c r="F16" i="16" a="1"/>
  <c r="F16" i="16" s="1"/>
  <c r="E16" i="16"/>
  <c r="E16" i="16" a="1"/>
  <c r="D16" i="16" a="1"/>
  <c r="D16" i="16" s="1"/>
  <c r="J15" i="16" a="1"/>
  <c r="J15" i="16" s="1"/>
  <c r="I15" i="16" a="1"/>
  <c r="I15" i="16" s="1"/>
  <c r="H15" i="16"/>
  <c r="H15" i="16" a="1"/>
  <c r="G15" i="16" a="1"/>
  <c r="G15" i="16" s="1"/>
  <c r="F15" i="16" a="1"/>
  <c r="F15" i="16" s="1"/>
  <c r="E15" i="16" a="1"/>
  <c r="E15" i="16" s="1"/>
  <c r="D15" i="16"/>
  <c r="D15" i="16" a="1"/>
  <c r="J14" i="16" a="1"/>
  <c r="J14" i="16" s="1"/>
  <c r="I14" i="16" a="1"/>
  <c r="I14" i="16" s="1"/>
  <c r="H14" i="16" a="1"/>
  <c r="H14" i="16" s="1"/>
  <c r="G14" i="16"/>
  <c r="G14" i="16" a="1"/>
  <c r="F14" i="16" a="1"/>
  <c r="F14" i="16" s="1"/>
  <c r="E14" i="16" a="1"/>
  <c r="E14" i="16" s="1"/>
  <c r="D14" i="16" a="1"/>
  <c r="D14" i="16" s="1"/>
  <c r="J13" i="16"/>
  <c r="J13" i="16" a="1"/>
  <c r="I13" i="16" a="1"/>
  <c r="I13" i="16" s="1"/>
  <c r="H13" i="16" a="1"/>
  <c r="H13" i="16" s="1"/>
  <c r="G13" i="16" a="1"/>
  <c r="G13" i="16" s="1"/>
  <c r="F13" i="16"/>
  <c r="F13" i="16" a="1"/>
  <c r="E13" i="16" a="1"/>
  <c r="E13" i="16" s="1"/>
  <c r="D13" i="16" a="1"/>
  <c r="D13" i="16" s="1"/>
  <c r="J12" i="16" a="1"/>
  <c r="J12" i="16" s="1"/>
  <c r="I12" i="16"/>
  <c r="I12" i="16" a="1"/>
  <c r="H12" i="16" a="1"/>
  <c r="H12" i="16" s="1"/>
  <c r="G12" i="16" a="1"/>
  <c r="G12" i="16" s="1"/>
  <c r="F12" i="16" a="1"/>
  <c r="F12" i="16" s="1"/>
  <c r="E12" i="16"/>
  <c r="E12" i="16" a="1"/>
  <c r="D12" i="16" a="1"/>
  <c r="D12" i="16" s="1"/>
  <c r="J11" i="16" a="1"/>
  <c r="J11" i="16" s="1"/>
  <c r="I11" i="16" a="1"/>
  <c r="I11" i="16" s="1"/>
  <c r="H11" i="16"/>
  <c r="H11" i="16" a="1"/>
  <c r="G11" i="16" a="1"/>
  <c r="G11" i="16" s="1"/>
  <c r="F11" i="16" a="1"/>
  <c r="F11" i="16" s="1"/>
  <c r="E11" i="16" a="1"/>
  <c r="E11" i="16" s="1"/>
  <c r="D11" i="16"/>
  <c r="D11" i="16" a="1"/>
  <c r="J10" i="16" a="1"/>
  <c r="J10" i="16" s="1"/>
  <c r="I10" i="16" a="1"/>
  <c r="I10" i="16" s="1"/>
  <c r="H10" i="16" a="1"/>
  <c r="H10" i="16" s="1"/>
  <c r="G10" i="16"/>
  <c r="G10" i="16" a="1"/>
  <c r="F10" i="16" a="1"/>
  <c r="F10" i="16" s="1"/>
  <c r="E10" i="16" a="1"/>
  <c r="E10" i="16" s="1"/>
  <c r="D10" i="16" a="1"/>
  <c r="D10" i="16" s="1"/>
  <c r="J9" i="16"/>
  <c r="J9" i="16" a="1"/>
  <c r="I9" i="16" a="1"/>
  <c r="I9" i="16" s="1"/>
  <c r="H9" i="16" a="1"/>
  <c r="H9" i="16" s="1"/>
  <c r="G9" i="16" a="1"/>
  <c r="G9" i="16" s="1"/>
  <c r="F9" i="16"/>
  <c r="F9" i="16" a="1"/>
  <c r="E9" i="16" a="1"/>
  <c r="E9" i="16" s="1"/>
  <c r="D9" i="16" a="1"/>
  <c r="D9" i="16" s="1"/>
  <c r="J8" i="16" a="1"/>
  <c r="J8" i="16" s="1"/>
  <c r="I8" i="16"/>
  <c r="I8" i="16" a="1"/>
  <c r="H8" i="16" a="1"/>
  <c r="H8" i="16" s="1"/>
  <c r="G8" i="16" a="1"/>
  <c r="G8" i="16" s="1"/>
  <c r="F8" i="16" a="1"/>
  <c r="F8" i="16" s="1"/>
  <c r="E8" i="16"/>
  <c r="E8" i="16" a="1"/>
  <c r="D8" i="16" a="1"/>
  <c r="D8" i="16" s="1"/>
  <c r="J7" i="16" a="1"/>
  <c r="J7" i="16" s="1"/>
  <c r="I7" i="16" a="1"/>
  <c r="I7" i="16" s="1"/>
  <c r="H7" i="16"/>
  <c r="H7" i="16" a="1"/>
  <c r="G7" i="16" a="1"/>
  <c r="G7" i="16" s="1"/>
  <c r="F7" i="16" a="1"/>
  <c r="F7" i="16" s="1"/>
  <c r="E7" i="16" a="1"/>
  <c r="E7" i="16" s="1"/>
  <c r="D7" i="16"/>
  <c r="D7" i="16" a="1"/>
  <c r="J6" i="16" a="1"/>
  <c r="J6" i="16" s="1"/>
  <c r="I6" i="16" a="1"/>
  <c r="I6" i="16" s="1"/>
  <c r="H6" i="16" a="1"/>
  <c r="H6" i="16" s="1"/>
  <c r="G6" i="16"/>
  <c r="G6" i="16" a="1"/>
  <c r="F6" i="16" a="1"/>
  <c r="F6" i="16" s="1"/>
  <c r="E6" i="16" a="1"/>
  <c r="E6" i="16" s="1"/>
  <c r="D6" i="16" a="1"/>
  <c r="D6" i="16" s="1"/>
  <c r="J5" i="16"/>
  <c r="J5" i="16" a="1"/>
  <c r="I5" i="16" a="1"/>
  <c r="I5" i="16" s="1"/>
  <c r="H5" i="16" a="1"/>
  <c r="H5" i="16" s="1"/>
  <c r="G5" i="16" a="1"/>
  <c r="G5" i="16" s="1"/>
  <c r="F5" i="16"/>
  <c r="F5" i="16" a="1"/>
  <c r="E5" i="16" a="1"/>
  <c r="E5" i="16" s="1"/>
  <c r="D5" i="16" a="1"/>
  <c r="D5" i="16" s="1"/>
  <c r="J4" i="16" a="1"/>
  <c r="J4" i="16" s="1"/>
  <c r="I4" i="16"/>
  <c r="I4" i="16" a="1"/>
  <c r="H4" i="16" a="1"/>
  <c r="H4" i="16" s="1"/>
  <c r="G4" i="16" a="1"/>
  <c r="G4" i="16" s="1"/>
  <c r="F4" i="16" a="1"/>
  <c r="F4" i="16" s="1"/>
  <c r="E4" i="16"/>
  <c r="E4" i="16" a="1"/>
  <c r="D4" i="16" a="1"/>
  <c r="D4" i="16" s="1"/>
  <c r="J3" i="16" a="1"/>
  <c r="J3" i="16" s="1"/>
  <c r="I3" i="16" a="1"/>
  <c r="I3" i="16" s="1"/>
  <c r="H3" i="16"/>
  <c r="H3" i="16" a="1"/>
  <c r="G3" i="16" a="1"/>
  <c r="G3" i="16" s="1"/>
  <c r="F3" i="16" a="1"/>
  <c r="F3" i="16" s="1"/>
  <c r="E3" i="16" a="1"/>
  <c r="E3" i="16" s="1"/>
  <c r="D3" i="16"/>
  <c r="D3" i="16" a="1"/>
  <c r="J2" i="16" a="1"/>
  <c r="J2" i="16" s="1"/>
  <c r="I2" i="16" a="1"/>
  <c r="I2" i="16" s="1"/>
  <c r="H2" i="16" a="1"/>
  <c r="H2" i="16" s="1"/>
  <c r="G2" i="16"/>
  <c r="G2" i="16" a="1"/>
  <c r="F2" i="16" a="1"/>
  <c r="F2" i="16" s="1"/>
  <c r="E2" i="16" a="1"/>
  <c r="E2" i="16" s="1"/>
  <c r="D2" i="16" a="1"/>
  <c r="D2" i="16" s="1"/>
  <c r="J24" i="13" a="1"/>
  <c r="J24" i="13" s="1"/>
  <c r="I24" i="13" a="1"/>
  <c r="I24" i="13" s="1"/>
  <c r="H24" i="13" a="1"/>
  <c r="H24" i="13" s="1"/>
  <c r="G24" i="13" a="1"/>
  <c r="G24" i="13" s="1"/>
  <c r="F24" i="13" a="1"/>
  <c r="F24" i="13" s="1"/>
  <c r="E24" i="13" a="1"/>
  <c r="E24" i="13" s="1"/>
  <c r="D24" i="13" a="1"/>
  <c r="D24" i="13" s="1"/>
  <c r="J23" i="13"/>
  <c r="J23" i="13" a="1"/>
  <c r="I23" i="13" a="1"/>
  <c r="I23" i="13" s="1"/>
  <c r="H23" i="13" a="1"/>
  <c r="H23" i="13" s="1"/>
  <c r="G23" i="13" a="1"/>
  <c r="G23" i="13" s="1"/>
  <c r="F23" i="13" a="1"/>
  <c r="F23" i="13" s="1"/>
  <c r="E23" i="13" a="1"/>
  <c r="E23" i="13" s="1"/>
  <c r="D23" i="13" a="1"/>
  <c r="D23" i="13" s="1"/>
  <c r="J22" i="13" a="1"/>
  <c r="J22" i="13" s="1"/>
  <c r="I22" i="13"/>
  <c r="I22" i="13" a="1"/>
  <c r="H22" i="13" a="1"/>
  <c r="H22" i="13" s="1"/>
  <c r="G22" i="13" a="1"/>
  <c r="G22" i="13" s="1"/>
  <c r="F22" i="13" a="1"/>
  <c r="F22" i="13" s="1"/>
  <c r="E22" i="13" a="1"/>
  <c r="E22" i="13" s="1"/>
  <c r="D22" i="13" a="1"/>
  <c r="D22" i="13" s="1"/>
  <c r="J21" i="13" a="1"/>
  <c r="J21" i="13" s="1"/>
  <c r="I21" i="13" a="1"/>
  <c r="I21" i="13" s="1"/>
  <c r="H21" i="13"/>
  <c r="H21" i="13" a="1"/>
  <c r="G21" i="13" a="1"/>
  <c r="G21" i="13" s="1"/>
  <c r="F21" i="13" a="1"/>
  <c r="F21" i="13" s="1"/>
  <c r="E21" i="13" a="1"/>
  <c r="E21" i="13" s="1"/>
  <c r="D21" i="13" a="1"/>
  <c r="D21" i="13" s="1"/>
  <c r="J20" i="13" a="1"/>
  <c r="J20" i="13" s="1"/>
  <c r="I20" i="13" a="1"/>
  <c r="I20" i="13" s="1"/>
  <c r="H20" i="13" a="1"/>
  <c r="H20" i="13" s="1"/>
  <c r="G20" i="13"/>
  <c r="G20" i="13" a="1"/>
  <c r="F20" i="13" a="1"/>
  <c r="F20" i="13" s="1"/>
  <c r="E20" i="13" a="1"/>
  <c r="E20" i="13" s="1"/>
  <c r="D20" i="13" a="1"/>
  <c r="D20" i="13" s="1"/>
  <c r="J19" i="13" a="1"/>
  <c r="J19" i="13" s="1"/>
  <c r="I19" i="13" a="1"/>
  <c r="I19" i="13" s="1"/>
  <c r="H19" i="13" a="1"/>
  <c r="H19" i="13" s="1"/>
  <c r="G19" i="13" a="1"/>
  <c r="G19" i="13" s="1"/>
  <c r="F19" i="13"/>
  <c r="F19" i="13" a="1"/>
  <c r="E19" i="13" a="1"/>
  <c r="E19" i="13" s="1"/>
  <c r="D19" i="13" a="1"/>
  <c r="D19" i="13" s="1"/>
  <c r="J18" i="13" a="1"/>
  <c r="J18" i="13" s="1"/>
  <c r="I18" i="13" a="1"/>
  <c r="I18" i="13" s="1"/>
  <c r="H18" i="13" a="1"/>
  <c r="H18" i="13" s="1"/>
  <c r="G18" i="13" a="1"/>
  <c r="G18" i="13" s="1"/>
  <c r="F18" i="13" a="1"/>
  <c r="F18" i="13" s="1"/>
  <c r="E18" i="13"/>
  <c r="E18" i="13" a="1"/>
  <c r="D18" i="13" a="1"/>
  <c r="D18" i="13" s="1"/>
  <c r="J17" i="13" a="1"/>
  <c r="J17" i="13" s="1"/>
  <c r="I17" i="13" a="1"/>
  <c r="I17" i="13" s="1"/>
  <c r="H17" i="13" a="1"/>
  <c r="H17" i="13" s="1"/>
  <c r="G17" i="13" a="1"/>
  <c r="G17" i="13" s="1"/>
  <c r="F17" i="13" a="1"/>
  <c r="F17" i="13" s="1"/>
  <c r="E17" i="13" a="1"/>
  <c r="E17" i="13" s="1"/>
  <c r="D17" i="13"/>
  <c r="D17" i="13" a="1"/>
  <c r="J16" i="13" a="1"/>
  <c r="J16" i="13" s="1"/>
  <c r="I16" i="13" a="1"/>
  <c r="I16" i="13" s="1"/>
  <c r="H16" i="13" a="1"/>
  <c r="H16" i="13" s="1"/>
  <c r="G16" i="13" a="1"/>
  <c r="G16" i="13" s="1"/>
  <c r="F16" i="13" a="1"/>
  <c r="F16" i="13" s="1"/>
  <c r="E16" i="13" a="1"/>
  <c r="E16" i="13" s="1"/>
  <c r="D16" i="13" a="1"/>
  <c r="D16" i="13" s="1"/>
  <c r="J15" i="13"/>
  <c r="J15" i="13" a="1"/>
  <c r="I15" i="13" a="1"/>
  <c r="I15" i="13" s="1"/>
  <c r="H15" i="13" a="1"/>
  <c r="H15" i="13" s="1"/>
  <c r="G15" i="13" a="1"/>
  <c r="G15" i="13" s="1"/>
  <c r="F15" i="13" a="1"/>
  <c r="F15" i="13" s="1"/>
  <c r="E15" i="13" a="1"/>
  <c r="E15" i="13" s="1"/>
  <c r="D15" i="13" a="1"/>
  <c r="D15" i="13" s="1"/>
  <c r="J14" i="13" a="1"/>
  <c r="J14" i="13" s="1"/>
  <c r="I14" i="13"/>
  <c r="I14" i="13" a="1"/>
  <c r="H14" i="13" a="1"/>
  <c r="H14" i="13" s="1"/>
  <c r="G14" i="13" a="1"/>
  <c r="G14" i="13" s="1"/>
  <c r="F14" i="13" a="1"/>
  <c r="F14" i="13" s="1"/>
  <c r="E14" i="13" a="1"/>
  <c r="E14" i="13" s="1"/>
  <c r="D14" i="13" a="1"/>
  <c r="D14" i="13" s="1"/>
  <c r="J13" i="13" a="1"/>
  <c r="J13" i="13" s="1"/>
  <c r="I13" i="13" a="1"/>
  <c r="I13" i="13" s="1"/>
  <c r="H13" i="13"/>
  <c r="H13" i="13" a="1"/>
  <c r="G13" i="13" a="1"/>
  <c r="G13" i="13" s="1"/>
  <c r="F13" i="13" a="1"/>
  <c r="F13" i="13" s="1"/>
  <c r="E13" i="13" a="1"/>
  <c r="E13" i="13" s="1"/>
  <c r="D13" i="13" a="1"/>
  <c r="D13" i="13" s="1"/>
  <c r="J12" i="13" a="1"/>
  <c r="J12" i="13" s="1"/>
  <c r="I12" i="13" a="1"/>
  <c r="I12" i="13" s="1"/>
  <c r="H12" i="13" a="1"/>
  <c r="H12" i="13" s="1"/>
  <c r="G12" i="13"/>
  <c r="G12" i="13" a="1"/>
  <c r="F12" i="13" a="1"/>
  <c r="F12" i="13" s="1"/>
  <c r="E12" i="13" a="1"/>
  <c r="E12" i="13" s="1"/>
  <c r="D12" i="13" a="1"/>
  <c r="D12" i="13" s="1"/>
  <c r="J11" i="13" a="1"/>
  <c r="J11" i="13" s="1"/>
  <c r="I11" i="13" a="1"/>
  <c r="I11" i="13" s="1"/>
  <c r="H11" i="13" a="1"/>
  <c r="H11" i="13" s="1"/>
  <c r="G11" i="13" a="1"/>
  <c r="G11" i="13" s="1"/>
  <c r="F11" i="13"/>
  <c r="F11" i="13" a="1"/>
  <c r="E11" i="13" a="1"/>
  <c r="E11" i="13" s="1"/>
  <c r="D11" i="13" a="1"/>
  <c r="D11" i="13" s="1"/>
  <c r="J10" i="13" a="1"/>
  <c r="J10" i="13" s="1"/>
  <c r="I10" i="13" a="1"/>
  <c r="I10" i="13" s="1"/>
  <c r="H10" i="13" a="1"/>
  <c r="H10" i="13" s="1"/>
  <c r="G10" i="13" a="1"/>
  <c r="G10" i="13" s="1"/>
  <c r="F10" i="13" a="1"/>
  <c r="F10" i="13" s="1"/>
  <c r="E10" i="13"/>
  <c r="E10" i="13" a="1"/>
  <c r="D10" i="13" a="1"/>
  <c r="D10" i="13" s="1"/>
  <c r="J9" i="13" a="1"/>
  <c r="J9" i="13" s="1"/>
  <c r="I9" i="13" a="1"/>
  <c r="I9" i="13" s="1"/>
  <c r="H9" i="13" a="1"/>
  <c r="H9" i="13" s="1"/>
  <c r="G9" i="13" a="1"/>
  <c r="G9" i="13" s="1"/>
  <c r="F9" i="13" a="1"/>
  <c r="F9" i="13" s="1"/>
  <c r="E9" i="13" a="1"/>
  <c r="E9" i="13" s="1"/>
  <c r="D9" i="13"/>
  <c r="D9" i="13" a="1"/>
  <c r="J8" i="13" a="1"/>
  <c r="J8" i="13" s="1"/>
  <c r="I8" i="13" a="1"/>
  <c r="I8" i="13" s="1"/>
  <c r="H8" i="13" a="1"/>
  <c r="H8" i="13" s="1"/>
  <c r="G8" i="13" a="1"/>
  <c r="G8" i="13" s="1"/>
  <c r="F8" i="13" a="1"/>
  <c r="F8" i="13" s="1"/>
  <c r="E8" i="13" a="1"/>
  <c r="E8" i="13" s="1"/>
  <c r="D8" i="13" a="1"/>
  <c r="D8" i="13" s="1"/>
  <c r="J7" i="13"/>
  <c r="J7" i="13" a="1"/>
  <c r="I7" i="13" a="1"/>
  <c r="I7" i="13" s="1"/>
  <c r="H7" i="13" a="1"/>
  <c r="H7" i="13" s="1"/>
  <c r="G7" i="13" a="1"/>
  <c r="G7" i="13" s="1"/>
  <c r="F7" i="13" a="1"/>
  <c r="F7" i="13" s="1"/>
  <c r="E7" i="13" a="1"/>
  <c r="E7" i="13" s="1"/>
  <c r="D7" i="13" a="1"/>
  <c r="D7" i="13" s="1"/>
  <c r="J6" i="13" a="1"/>
  <c r="J6" i="13" s="1"/>
  <c r="I6" i="13"/>
  <c r="I6" i="13" a="1"/>
  <c r="H6" i="13" a="1"/>
  <c r="H6" i="13" s="1"/>
  <c r="G6" i="13" a="1"/>
  <c r="G6" i="13" s="1"/>
  <c r="F6" i="13" a="1"/>
  <c r="F6" i="13" s="1"/>
  <c r="E6" i="13" a="1"/>
  <c r="E6" i="13" s="1"/>
  <c r="D6" i="13" a="1"/>
  <c r="D6" i="13" s="1"/>
  <c r="J5" i="13" a="1"/>
  <c r="J5" i="13" s="1"/>
  <c r="I5" i="13" a="1"/>
  <c r="I5" i="13" s="1"/>
  <c r="H5" i="13"/>
  <c r="H5" i="13" a="1"/>
  <c r="G5" i="13" a="1"/>
  <c r="G5" i="13" s="1"/>
  <c r="F5" i="13" a="1"/>
  <c r="F5" i="13" s="1"/>
  <c r="E5" i="13" a="1"/>
  <c r="E5" i="13" s="1"/>
  <c r="D5" i="13" a="1"/>
  <c r="D5" i="13" s="1"/>
  <c r="J4" i="13" a="1"/>
  <c r="J4" i="13" s="1"/>
  <c r="I4" i="13" a="1"/>
  <c r="I4" i="13" s="1"/>
  <c r="H4" i="13" a="1"/>
  <c r="H4" i="13" s="1"/>
  <c r="G4" i="13"/>
  <c r="G4" i="13" a="1"/>
  <c r="F4" i="13" a="1"/>
  <c r="F4" i="13" s="1"/>
  <c r="E4" i="13" a="1"/>
  <c r="E4" i="13" s="1"/>
  <c r="D4" i="13" a="1"/>
  <c r="D4" i="13" s="1"/>
  <c r="J3" i="13" a="1"/>
  <c r="J3" i="13" s="1"/>
  <c r="I3" i="13" a="1"/>
  <c r="I3" i="13" s="1"/>
  <c r="H3" i="13" a="1"/>
  <c r="H3" i="13" s="1"/>
  <c r="G3" i="13" a="1"/>
  <c r="G3" i="13" s="1"/>
  <c r="F3" i="13"/>
  <c r="F3" i="13" a="1"/>
  <c r="E3" i="13" a="1"/>
  <c r="E3" i="13" s="1"/>
  <c r="D3" i="13" a="1"/>
  <c r="D3" i="13" s="1"/>
  <c r="J2" i="13" a="1"/>
  <c r="J2" i="13" s="1"/>
  <c r="I2" i="13" a="1"/>
  <c r="I2" i="13" s="1"/>
  <c r="H2" i="13" a="1"/>
  <c r="H2" i="13" s="1"/>
  <c r="G2" i="13" a="1"/>
  <c r="G2" i="13" s="1"/>
  <c r="F2" i="13" a="1"/>
  <c r="F2" i="13" s="1"/>
  <c r="E2" i="13"/>
  <c r="E2" i="13" a="1"/>
  <c r="D2" i="13" a="1"/>
  <c r="D2" i="13" s="1"/>
  <c r="J45" i="10" a="1"/>
  <c r="J45" i="10" s="1"/>
  <c r="I45" i="10" a="1"/>
  <c r="I45" i="10" s="1"/>
  <c r="H45" i="10" a="1"/>
  <c r="H45" i="10" s="1"/>
  <c r="G45" i="10"/>
  <c r="G45" i="10" a="1"/>
  <c r="F45" i="10" a="1"/>
  <c r="F45" i="10" s="1"/>
  <c r="E45" i="10" a="1"/>
  <c r="E45" i="10" s="1"/>
  <c r="D45" i="10"/>
  <c r="D45" i="10" a="1"/>
  <c r="J44" i="10"/>
  <c r="J44" i="10" a="1"/>
  <c r="I44" i="10" a="1"/>
  <c r="I44" i="10" s="1"/>
  <c r="H44" i="10" a="1"/>
  <c r="H44" i="10" s="1"/>
  <c r="G44" i="10" a="1"/>
  <c r="G44" i="10" s="1"/>
  <c r="F44" i="10"/>
  <c r="F44" i="10" a="1"/>
  <c r="E44" i="10" a="1"/>
  <c r="E44" i="10" s="1"/>
  <c r="D44" i="10" a="1"/>
  <c r="D44" i="10" s="1"/>
  <c r="J43" i="10"/>
  <c r="J43" i="10" a="1"/>
  <c r="I43" i="10"/>
  <c r="I43" i="10" a="1"/>
  <c r="H43" i="10" a="1"/>
  <c r="H43" i="10" s="1"/>
  <c r="G43" i="10" a="1"/>
  <c r="G43" i="10" s="1"/>
  <c r="F43" i="10" a="1"/>
  <c r="F43" i="10" s="1"/>
  <c r="E43" i="10"/>
  <c r="E43" i="10" a="1"/>
  <c r="D43" i="10" a="1"/>
  <c r="D43" i="10" s="1"/>
  <c r="J42" i="10" a="1"/>
  <c r="J42" i="10" s="1"/>
  <c r="I42" i="10" a="1"/>
  <c r="I42" i="10" s="1"/>
  <c r="H42" i="10"/>
  <c r="H42" i="10" a="1"/>
  <c r="G42" i="10" a="1"/>
  <c r="G42" i="10" s="1"/>
  <c r="F42" i="10" a="1"/>
  <c r="F42" i="10" s="1"/>
  <c r="E42" i="10" a="1"/>
  <c r="E42" i="10" s="1"/>
  <c r="D42" i="10"/>
  <c r="D42" i="10" a="1"/>
  <c r="J41" i="10" a="1"/>
  <c r="J41" i="10" s="1"/>
  <c r="I41" i="10" a="1"/>
  <c r="I41" i="10" s="1"/>
  <c r="H41" i="10" a="1"/>
  <c r="H41" i="10" s="1"/>
  <c r="G41" i="10"/>
  <c r="G41" i="10" a="1"/>
  <c r="F41" i="10" a="1"/>
  <c r="F41" i="10" s="1"/>
  <c r="E41" i="10" a="1"/>
  <c r="E41" i="10" s="1"/>
  <c r="D41" i="10" a="1"/>
  <c r="D41" i="10" s="1"/>
  <c r="J40" i="10"/>
  <c r="J40" i="10" a="1"/>
  <c r="I40" i="10" a="1"/>
  <c r="I40" i="10" s="1"/>
  <c r="H40" i="10" a="1"/>
  <c r="H40" i="10" s="1"/>
  <c r="G40" i="10" a="1"/>
  <c r="G40" i="10" s="1"/>
  <c r="F40" i="10"/>
  <c r="F40" i="10" a="1"/>
  <c r="E40" i="10" a="1"/>
  <c r="E40" i="10" s="1"/>
  <c r="D40" i="10" a="1"/>
  <c r="D40" i="10" s="1"/>
  <c r="J39" i="10" a="1"/>
  <c r="J39" i="10" s="1"/>
  <c r="I39" i="10"/>
  <c r="I39" i="10" a="1"/>
  <c r="H39" i="10" a="1"/>
  <c r="H39" i="10" s="1"/>
  <c r="G39" i="10" a="1"/>
  <c r="G39" i="10" s="1"/>
  <c r="F39" i="10" a="1"/>
  <c r="F39" i="10" s="1"/>
  <c r="E39" i="10"/>
  <c r="E39" i="10" a="1"/>
  <c r="D39" i="10" a="1"/>
  <c r="D39" i="10" s="1"/>
  <c r="J38" i="10" a="1"/>
  <c r="J38" i="10" s="1"/>
  <c r="I38" i="10" a="1"/>
  <c r="I38" i="10" s="1"/>
  <c r="H38" i="10"/>
  <c r="H38" i="10" a="1"/>
  <c r="G38" i="10" a="1"/>
  <c r="G38" i="10" s="1"/>
  <c r="F38" i="10" a="1"/>
  <c r="F38" i="10" s="1"/>
  <c r="E38" i="10" a="1"/>
  <c r="E38" i="10" s="1"/>
  <c r="D38" i="10"/>
  <c r="D38" i="10" a="1"/>
  <c r="J37" i="10" a="1"/>
  <c r="J37" i="10" s="1"/>
  <c r="I37" i="10" a="1"/>
  <c r="I37" i="10" s="1"/>
  <c r="H37" i="10" a="1"/>
  <c r="H37" i="10" s="1"/>
  <c r="G37" i="10"/>
  <c r="G37" i="10" a="1"/>
  <c r="F37" i="10" a="1"/>
  <c r="F37" i="10" s="1"/>
  <c r="E37" i="10" a="1"/>
  <c r="E37" i="10" s="1"/>
  <c r="D37" i="10" a="1"/>
  <c r="D37" i="10" s="1"/>
  <c r="J36" i="10"/>
  <c r="J36" i="10" a="1"/>
  <c r="I36" i="10" a="1"/>
  <c r="I36" i="10" s="1"/>
  <c r="H36" i="10" a="1"/>
  <c r="H36" i="10" s="1"/>
  <c r="G36" i="10" a="1"/>
  <c r="G36" i="10" s="1"/>
  <c r="F36" i="10"/>
  <c r="F36" i="10" a="1"/>
  <c r="E36" i="10" a="1"/>
  <c r="E36" i="10" s="1"/>
  <c r="D36" i="10" a="1"/>
  <c r="D36" i="10" s="1"/>
  <c r="J35" i="10" a="1"/>
  <c r="J35" i="10" s="1"/>
  <c r="I35" i="10"/>
  <c r="I35" i="10" a="1"/>
  <c r="H35" i="10" a="1"/>
  <c r="H35" i="10" s="1"/>
  <c r="G35" i="10" a="1"/>
  <c r="G35" i="10" s="1"/>
  <c r="F35" i="10" a="1"/>
  <c r="F35" i="10" s="1"/>
  <c r="E35" i="10"/>
  <c r="E35" i="10" a="1"/>
  <c r="D35" i="10" a="1"/>
  <c r="D35" i="10" s="1"/>
  <c r="J34" i="10" a="1"/>
  <c r="J34" i="10" s="1"/>
  <c r="I34" i="10" a="1"/>
  <c r="I34" i="10" s="1"/>
  <c r="H34" i="10"/>
  <c r="H34" i="10" a="1"/>
  <c r="G34" i="10" a="1"/>
  <c r="G34" i="10" s="1"/>
  <c r="F34" i="10" a="1"/>
  <c r="F34" i="10" s="1"/>
  <c r="E34" i="10" a="1"/>
  <c r="E34" i="10" s="1"/>
  <c r="D34" i="10"/>
  <c r="D34" i="10" a="1"/>
  <c r="J33" i="10" a="1"/>
  <c r="J33" i="10" s="1"/>
  <c r="I33" i="10" a="1"/>
  <c r="I33" i="10" s="1"/>
  <c r="H33" i="10" a="1"/>
  <c r="H33" i="10" s="1"/>
  <c r="G33" i="10"/>
  <c r="G33" i="10" a="1"/>
  <c r="F33" i="10" a="1"/>
  <c r="F33" i="10" s="1"/>
  <c r="E33" i="10" a="1"/>
  <c r="E33" i="10" s="1"/>
  <c r="D33" i="10" a="1"/>
  <c r="D33" i="10" s="1"/>
  <c r="J32" i="10"/>
  <c r="J32" i="10" a="1"/>
  <c r="I32" i="10" a="1"/>
  <c r="I32" i="10" s="1"/>
  <c r="H32" i="10" a="1"/>
  <c r="H32" i="10" s="1"/>
  <c r="G32" i="10" a="1"/>
  <c r="G32" i="10" s="1"/>
  <c r="F32" i="10"/>
  <c r="F32" i="10" a="1"/>
  <c r="E32" i="10" a="1"/>
  <c r="E32" i="10" s="1"/>
  <c r="D32" i="10" a="1"/>
  <c r="D32" i="10" s="1"/>
  <c r="J31" i="10" a="1"/>
  <c r="J31" i="10" s="1"/>
  <c r="I31" i="10"/>
  <c r="I31" i="10" a="1"/>
  <c r="H31" i="10" a="1"/>
  <c r="H31" i="10" s="1"/>
  <c r="G31" i="10" a="1"/>
  <c r="G31" i="10" s="1"/>
  <c r="F31" i="10" a="1"/>
  <c r="F31" i="10" s="1"/>
  <c r="E31" i="10"/>
  <c r="E31" i="10" a="1"/>
  <c r="D31" i="10" a="1"/>
  <c r="D31" i="10" s="1"/>
  <c r="J30" i="10" a="1"/>
  <c r="J30" i="10" s="1"/>
  <c r="I30" i="10" a="1"/>
  <c r="I30" i="10" s="1"/>
  <c r="H30" i="10"/>
  <c r="H30" i="10" a="1"/>
  <c r="G30" i="10" a="1"/>
  <c r="G30" i="10" s="1"/>
  <c r="F30" i="10" a="1"/>
  <c r="F30" i="10" s="1"/>
  <c r="E30" i="10" a="1"/>
  <c r="E30" i="10" s="1"/>
  <c r="D30" i="10"/>
  <c r="D30" i="10" a="1"/>
  <c r="J29" i="10" a="1"/>
  <c r="J29" i="10" s="1"/>
  <c r="I29" i="10" a="1"/>
  <c r="I29" i="10" s="1"/>
  <c r="H29" i="10" a="1"/>
  <c r="H29" i="10" s="1"/>
  <c r="G29" i="10"/>
  <c r="G29" i="10" a="1"/>
  <c r="F29" i="10" a="1"/>
  <c r="F29" i="10" s="1"/>
  <c r="E29" i="10" a="1"/>
  <c r="E29" i="10" s="1"/>
  <c r="D29" i="10" a="1"/>
  <c r="D29" i="10" s="1"/>
  <c r="J28" i="10"/>
  <c r="J28" i="10" a="1"/>
  <c r="I28" i="10" a="1"/>
  <c r="I28" i="10" s="1"/>
  <c r="H28" i="10" a="1"/>
  <c r="H28" i="10" s="1"/>
  <c r="G28" i="10" a="1"/>
  <c r="G28" i="10" s="1"/>
  <c r="F28" i="10"/>
  <c r="F28" i="10" a="1"/>
  <c r="E28" i="10" a="1"/>
  <c r="E28" i="10" s="1"/>
  <c r="D28" i="10" a="1"/>
  <c r="D28" i="10" s="1"/>
  <c r="J27" i="10" a="1"/>
  <c r="J27" i="10" s="1"/>
  <c r="I27" i="10"/>
  <c r="I27" i="10" a="1"/>
  <c r="H27" i="10" a="1"/>
  <c r="H27" i="10" s="1"/>
  <c r="G27" i="10" a="1"/>
  <c r="G27" i="10" s="1"/>
  <c r="F27" i="10" a="1"/>
  <c r="F27" i="10" s="1"/>
  <c r="E27" i="10"/>
  <c r="E27" i="10" a="1"/>
  <c r="D27" i="10" a="1"/>
  <c r="D27" i="10" s="1"/>
  <c r="J26" i="10" a="1"/>
  <c r="J26" i="10" s="1"/>
  <c r="I26" i="10" a="1"/>
  <c r="I26" i="10" s="1"/>
  <c r="H26" i="10"/>
  <c r="H26" i="10" a="1"/>
  <c r="G26" i="10" a="1"/>
  <c r="G26" i="10" s="1"/>
  <c r="F26" i="10" a="1"/>
  <c r="F26" i="10" s="1"/>
  <c r="E26" i="10" a="1"/>
  <c r="E26" i="10" s="1"/>
  <c r="D26" i="10"/>
  <c r="D26" i="10" a="1"/>
  <c r="J25" i="10" a="1"/>
  <c r="J25" i="10" s="1"/>
  <c r="I25" i="10" a="1"/>
  <c r="I25" i="10" s="1"/>
  <c r="H25" i="10" a="1"/>
  <c r="H25" i="10" s="1"/>
  <c r="G25" i="10"/>
  <c r="G25" i="10" a="1"/>
  <c r="F25" i="10" a="1"/>
  <c r="F25" i="10" s="1"/>
  <c r="E25" i="10" a="1"/>
  <c r="E25" i="10" s="1"/>
  <c r="D25" i="10" a="1"/>
  <c r="D25" i="10" s="1"/>
  <c r="J24" i="10"/>
  <c r="J24" i="10" a="1"/>
  <c r="I24" i="10" a="1"/>
  <c r="I24" i="10" s="1"/>
  <c r="H24" i="10" a="1"/>
  <c r="H24" i="10" s="1"/>
  <c r="G24" i="10" a="1"/>
  <c r="G24" i="10" s="1"/>
  <c r="F24" i="10"/>
  <c r="F24" i="10" a="1"/>
  <c r="E24" i="10" a="1"/>
  <c r="E24" i="10" s="1"/>
  <c r="D24" i="10" a="1"/>
  <c r="D24" i="10" s="1"/>
  <c r="J23" i="10" a="1"/>
  <c r="J23" i="10" s="1"/>
  <c r="I23" i="10"/>
  <c r="I23" i="10" a="1"/>
  <c r="H23" i="10" a="1"/>
  <c r="H23" i="10" s="1"/>
  <c r="G23" i="10" a="1"/>
  <c r="G23" i="10" s="1"/>
  <c r="F23" i="10" a="1"/>
  <c r="F23" i="10" s="1"/>
  <c r="E23" i="10"/>
  <c r="E23" i="10" a="1"/>
  <c r="D23" i="10" a="1"/>
  <c r="D23" i="10" s="1"/>
  <c r="J22" i="10" a="1"/>
  <c r="J22" i="10" s="1"/>
  <c r="I22" i="10" a="1"/>
  <c r="I22" i="10" s="1"/>
  <c r="H22" i="10"/>
  <c r="H22" i="10" a="1"/>
  <c r="G22" i="10" a="1"/>
  <c r="G22" i="10" s="1"/>
  <c r="F22" i="10" a="1"/>
  <c r="F22" i="10" s="1"/>
  <c r="E22" i="10" a="1"/>
  <c r="E22" i="10" s="1"/>
  <c r="D22" i="10"/>
  <c r="D22" i="10" a="1"/>
  <c r="J21" i="10" a="1"/>
  <c r="J21" i="10" s="1"/>
  <c r="I21" i="10" a="1"/>
  <c r="I21" i="10" s="1"/>
  <c r="H21" i="10" a="1"/>
  <c r="H21" i="10" s="1"/>
  <c r="G21" i="10"/>
  <c r="G21" i="10" a="1"/>
  <c r="F21" i="10" a="1"/>
  <c r="F21" i="10" s="1"/>
  <c r="E21" i="10" a="1"/>
  <c r="E21" i="10" s="1"/>
  <c r="D21" i="10" a="1"/>
  <c r="D21" i="10" s="1"/>
  <c r="J20" i="10"/>
  <c r="J20" i="10" a="1"/>
  <c r="I20" i="10" a="1"/>
  <c r="I20" i="10" s="1"/>
  <c r="H20" i="10" a="1"/>
  <c r="H20" i="10" s="1"/>
  <c r="G20" i="10" a="1"/>
  <c r="G20" i="10" s="1"/>
  <c r="F20" i="10"/>
  <c r="F20" i="10" a="1"/>
  <c r="E20" i="10" a="1"/>
  <c r="E20" i="10" s="1"/>
  <c r="D20" i="10" a="1"/>
  <c r="D20" i="10" s="1"/>
  <c r="J19" i="10" a="1"/>
  <c r="J19" i="10" s="1"/>
  <c r="I19" i="10"/>
  <c r="I19" i="10" a="1"/>
  <c r="H19" i="10" a="1"/>
  <c r="H19" i="10" s="1"/>
  <c r="G19" i="10" a="1"/>
  <c r="G19" i="10" s="1"/>
  <c r="F19" i="10" a="1"/>
  <c r="F19" i="10" s="1"/>
  <c r="E19" i="10"/>
  <c r="E19" i="10" a="1"/>
  <c r="D19" i="10" a="1"/>
  <c r="D19" i="10" s="1"/>
  <c r="J18" i="10" a="1"/>
  <c r="J18" i="10" s="1"/>
  <c r="I18" i="10" a="1"/>
  <c r="I18" i="10" s="1"/>
  <c r="H18" i="10"/>
  <c r="H18" i="10" a="1"/>
  <c r="G18" i="10" a="1"/>
  <c r="G18" i="10" s="1"/>
  <c r="F18" i="10" a="1"/>
  <c r="F18" i="10" s="1"/>
  <c r="E18" i="10" a="1"/>
  <c r="E18" i="10" s="1"/>
  <c r="D18" i="10"/>
  <c r="D18" i="10" a="1"/>
  <c r="J17" i="10" a="1"/>
  <c r="J17" i="10" s="1"/>
  <c r="I17" i="10" a="1"/>
  <c r="I17" i="10" s="1"/>
  <c r="H17" i="10" a="1"/>
  <c r="H17" i="10" s="1"/>
  <c r="G17" i="10"/>
  <c r="G17" i="10" a="1"/>
  <c r="F17" i="10" a="1"/>
  <c r="F17" i="10" s="1"/>
  <c r="E17" i="10" a="1"/>
  <c r="E17" i="10" s="1"/>
  <c r="D17" i="10" a="1"/>
  <c r="D17" i="10" s="1"/>
  <c r="J16" i="10"/>
  <c r="J16" i="10" a="1"/>
  <c r="I16" i="10" a="1"/>
  <c r="I16" i="10" s="1"/>
  <c r="H16" i="10" a="1"/>
  <c r="H16" i="10" s="1"/>
  <c r="G16" i="10" a="1"/>
  <c r="G16" i="10" s="1"/>
  <c r="F16" i="10"/>
  <c r="F16" i="10" a="1"/>
  <c r="E16" i="10" a="1"/>
  <c r="E16" i="10" s="1"/>
  <c r="D16" i="10" a="1"/>
  <c r="D16" i="10" s="1"/>
  <c r="J15" i="10" a="1"/>
  <c r="J15" i="10" s="1"/>
  <c r="I15" i="10"/>
  <c r="I15" i="10" a="1"/>
  <c r="H15" i="10" a="1"/>
  <c r="H15" i="10" s="1"/>
  <c r="G15" i="10" a="1"/>
  <c r="G15" i="10" s="1"/>
  <c r="F15" i="10" a="1"/>
  <c r="F15" i="10" s="1"/>
  <c r="E15" i="10"/>
  <c r="E15" i="10" a="1"/>
  <c r="D15" i="10" a="1"/>
  <c r="D15" i="10" s="1"/>
  <c r="J14" i="10" a="1"/>
  <c r="J14" i="10" s="1"/>
  <c r="I14" i="10" a="1"/>
  <c r="I14" i="10" s="1"/>
  <c r="H14" i="10"/>
  <c r="H14" i="10" a="1"/>
  <c r="G14" i="10" a="1"/>
  <c r="G14" i="10" s="1"/>
  <c r="F14" i="10" a="1"/>
  <c r="F14" i="10" s="1"/>
  <c r="E14" i="10" a="1"/>
  <c r="E14" i="10" s="1"/>
  <c r="D14" i="10"/>
  <c r="D14" i="10" a="1"/>
  <c r="J13" i="10" a="1"/>
  <c r="J13" i="10" s="1"/>
  <c r="I13" i="10" a="1"/>
  <c r="I13" i="10" s="1"/>
  <c r="H13" i="10" a="1"/>
  <c r="H13" i="10" s="1"/>
  <c r="G13" i="10"/>
  <c r="G13" i="10" a="1"/>
  <c r="F13" i="10" a="1"/>
  <c r="F13" i="10" s="1"/>
  <c r="E13" i="10" a="1"/>
  <c r="E13" i="10" s="1"/>
  <c r="D13" i="10" a="1"/>
  <c r="D13" i="10" s="1"/>
  <c r="J12" i="10"/>
  <c r="J12" i="10" a="1"/>
  <c r="I12" i="10" a="1"/>
  <c r="I12" i="10" s="1"/>
  <c r="H12" i="10" a="1"/>
  <c r="H12" i="10" s="1"/>
  <c r="G12" i="10" a="1"/>
  <c r="G12" i="10" s="1"/>
  <c r="F12" i="10"/>
  <c r="F12" i="10" a="1"/>
  <c r="E12" i="10" a="1"/>
  <c r="E12" i="10" s="1"/>
  <c r="D12" i="10" a="1"/>
  <c r="D12" i="10" s="1"/>
  <c r="J11" i="10" a="1"/>
  <c r="J11" i="10" s="1"/>
  <c r="I11" i="10"/>
  <c r="I11" i="10" a="1"/>
  <c r="H11" i="10" a="1"/>
  <c r="H11" i="10" s="1"/>
  <c r="G11" i="10" a="1"/>
  <c r="G11" i="10" s="1"/>
  <c r="F11" i="10" a="1"/>
  <c r="F11" i="10" s="1"/>
  <c r="E11" i="10"/>
  <c r="E11" i="10" a="1"/>
  <c r="D11" i="10" a="1"/>
  <c r="D11" i="10" s="1"/>
  <c r="J10" i="10" a="1"/>
  <c r="J10" i="10" s="1"/>
  <c r="I10" i="10" a="1"/>
  <c r="I10" i="10" s="1"/>
  <c r="H10" i="10"/>
  <c r="H10" i="10" a="1"/>
  <c r="G10" i="10" a="1"/>
  <c r="G10" i="10" s="1"/>
  <c r="F10" i="10" a="1"/>
  <c r="F10" i="10" s="1"/>
  <c r="E10" i="10" a="1"/>
  <c r="E10" i="10" s="1"/>
  <c r="D10" i="10" a="1"/>
  <c r="D10" i="10" s="1"/>
  <c r="J9" i="10" a="1"/>
  <c r="J9" i="10" s="1"/>
  <c r="I9" i="10" a="1"/>
  <c r="I9" i="10" s="1"/>
  <c r="H9" i="10" a="1"/>
  <c r="H9" i="10" s="1"/>
  <c r="G9" i="10"/>
  <c r="G9" i="10" a="1"/>
  <c r="F9" i="10" a="1"/>
  <c r="F9" i="10" s="1"/>
  <c r="E9" i="10" a="1"/>
  <c r="E9" i="10" s="1"/>
  <c r="D9" i="10" a="1"/>
  <c r="D9" i="10" s="1"/>
  <c r="J8" i="10" a="1"/>
  <c r="J8" i="10" s="1"/>
  <c r="I8" i="10" a="1"/>
  <c r="I8" i="10" s="1"/>
  <c r="H8" i="10" a="1"/>
  <c r="H8" i="10" s="1"/>
  <c r="G8" i="10" a="1"/>
  <c r="G8" i="10" s="1"/>
  <c r="F8" i="10"/>
  <c r="F8" i="10" a="1"/>
  <c r="E8" i="10" a="1"/>
  <c r="E8" i="10" s="1"/>
  <c r="D8" i="10" a="1"/>
  <c r="D8" i="10" s="1"/>
  <c r="J7" i="10" a="1"/>
  <c r="J7" i="10" s="1"/>
  <c r="I7" i="10" a="1"/>
  <c r="I7" i="10" s="1"/>
  <c r="H7" i="10" a="1"/>
  <c r="H7" i="10" s="1"/>
  <c r="G7" i="10" a="1"/>
  <c r="G7" i="10" s="1"/>
  <c r="F7" i="10" a="1"/>
  <c r="F7" i="10" s="1"/>
  <c r="E7" i="10"/>
  <c r="E7" i="10" a="1"/>
  <c r="D7" i="10" a="1"/>
  <c r="D7" i="10" s="1"/>
  <c r="J6" i="10" a="1"/>
  <c r="J6" i="10" s="1"/>
  <c r="I6" i="10" a="1"/>
  <c r="I6" i="10" s="1"/>
  <c r="H6" i="10" a="1"/>
  <c r="H6" i="10" s="1"/>
  <c r="G6" i="10" a="1"/>
  <c r="G6" i="10" s="1"/>
  <c r="F6" i="10" a="1"/>
  <c r="F6" i="10" s="1"/>
  <c r="E6" i="10" a="1"/>
  <c r="E6" i="10" s="1"/>
  <c r="D6" i="10"/>
  <c r="D6" i="10" a="1"/>
  <c r="J5" i="10" a="1"/>
  <c r="J5" i="10" s="1"/>
  <c r="I5" i="10" a="1"/>
  <c r="I5" i="10" s="1"/>
  <c r="H5" i="10" a="1"/>
  <c r="H5" i="10" s="1"/>
  <c r="G5" i="10" a="1"/>
  <c r="G5" i="10" s="1"/>
  <c r="F5" i="10" a="1"/>
  <c r="F5" i="10" s="1"/>
  <c r="E5" i="10" a="1"/>
  <c r="E5" i="10" s="1"/>
  <c r="D5" i="10" a="1"/>
  <c r="D5" i="10" s="1"/>
  <c r="J4" i="10"/>
  <c r="J4" i="10" a="1"/>
  <c r="I4" i="10" a="1"/>
  <c r="I4" i="10" s="1"/>
  <c r="H4" i="10" a="1"/>
  <c r="H4" i="10" s="1"/>
  <c r="G4" i="10" a="1"/>
  <c r="G4" i="10" s="1"/>
  <c r="F4" i="10" a="1"/>
  <c r="F4" i="10" s="1"/>
  <c r="E4" i="10" a="1"/>
  <c r="E4" i="10" s="1"/>
  <c r="D4" i="10" a="1"/>
  <c r="D4" i="10" s="1"/>
  <c r="J3" i="10" a="1"/>
  <c r="J3" i="10" s="1"/>
  <c r="I3" i="10"/>
  <c r="I3" i="10" a="1"/>
  <c r="H3" i="10" a="1"/>
  <c r="H3" i="10" s="1"/>
  <c r="G3" i="10" a="1"/>
  <c r="G3" i="10" s="1"/>
  <c r="F3" i="10" a="1"/>
  <c r="F3" i="10" s="1"/>
  <c r="E3" i="10" a="1"/>
  <c r="E3" i="10" s="1"/>
  <c r="D3" i="10" a="1"/>
  <c r="D3" i="10" s="1"/>
  <c r="J2" i="10" a="1"/>
  <c r="J2" i="10" s="1"/>
  <c r="I2" i="10" a="1"/>
  <c r="I2" i="10" s="1"/>
  <c r="H2" i="10"/>
  <c r="H2" i="10" a="1"/>
  <c r="G2" i="10" a="1"/>
  <c r="G2" i="10" s="1"/>
  <c r="F2" i="10" a="1"/>
  <c r="F2" i="10" s="1"/>
  <c r="E2" i="10" a="1"/>
  <c r="E2" i="10" s="1"/>
  <c r="D2" i="10" a="1"/>
  <c r="D2" i="10" s="1"/>
  <c r="Q43" i="15" a="1"/>
  <c r="Q43" i="15" s="1"/>
  <c r="P43" i="15" a="1"/>
  <c r="P43" i="15" s="1"/>
  <c r="O43" i="15" a="1"/>
  <c r="O43" i="15" s="1"/>
  <c r="N43" i="15"/>
  <c r="N43" i="15" a="1"/>
  <c r="M43" i="15" a="1"/>
  <c r="M43" i="15" s="1"/>
  <c r="L43" i="15"/>
  <c r="L43" i="15" a="1"/>
  <c r="K43" i="15"/>
  <c r="K43" i="15" a="1"/>
  <c r="J43" i="15"/>
  <c r="J43" i="15" a="1"/>
  <c r="I43" i="15" a="1"/>
  <c r="I43" i="15" s="1"/>
  <c r="H43" i="15" a="1"/>
  <c r="H43" i="15" s="1"/>
  <c r="G43" i="15" a="1"/>
  <c r="G43" i="15" s="1"/>
  <c r="F43" i="15"/>
  <c r="F43" i="15" a="1"/>
  <c r="E43" i="15" a="1"/>
  <c r="E43" i="15" s="1"/>
  <c r="D43" i="15"/>
  <c r="D43" i="15" a="1"/>
  <c r="Q42" i="15"/>
  <c r="Q42" i="15" a="1"/>
  <c r="P42" i="15"/>
  <c r="P42" i="15" a="1"/>
  <c r="O42" i="15" a="1"/>
  <c r="O42" i="15" s="1"/>
  <c r="N42" i="15" a="1"/>
  <c r="N42" i="15" s="1"/>
  <c r="M42" i="15" a="1"/>
  <c r="M42" i="15" s="1"/>
  <c r="L42" i="15"/>
  <c r="L42" i="15" a="1"/>
  <c r="K42" i="15" a="1"/>
  <c r="K42" i="15" s="1"/>
  <c r="J42" i="15"/>
  <c r="J42" i="15" a="1"/>
  <c r="I42" i="15"/>
  <c r="I42" i="15" a="1"/>
  <c r="H42" i="15"/>
  <c r="H42" i="15" a="1"/>
  <c r="G42" i="15" a="1"/>
  <c r="G42" i="15" s="1"/>
  <c r="F42" i="15" a="1"/>
  <c r="F42" i="15" s="1"/>
  <c r="E42" i="15" a="1"/>
  <c r="E42" i="15" s="1"/>
  <c r="D42" i="15"/>
  <c r="D42" i="15" a="1"/>
  <c r="Q41" i="15" a="1"/>
  <c r="Q41" i="15" s="1"/>
  <c r="P41" i="15"/>
  <c r="P41" i="15" a="1"/>
  <c r="O41" i="15"/>
  <c r="O41" i="15" a="1"/>
  <c r="N41" i="15"/>
  <c r="N41" i="15" a="1"/>
  <c r="M41" i="15" a="1"/>
  <c r="M41" i="15" s="1"/>
  <c r="L41" i="15" a="1"/>
  <c r="L41" i="15" s="1"/>
  <c r="K41" i="15" a="1"/>
  <c r="K41" i="15" s="1"/>
  <c r="J41" i="15"/>
  <c r="J41" i="15" a="1"/>
  <c r="I41" i="15" a="1"/>
  <c r="I41" i="15" s="1"/>
  <c r="H41" i="15"/>
  <c r="H41" i="15" a="1"/>
  <c r="G41" i="15"/>
  <c r="G41" i="15" a="1"/>
  <c r="F41" i="15"/>
  <c r="F41" i="15" a="1"/>
  <c r="E41" i="15" a="1"/>
  <c r="E41" i="15" s="1"/>
  <c r="D41" i="15" a="1"/>
  <c r="D41" i="15" s="1"/>
  <c r="Q40" i="15" a="1"/>
  <c r="Q40" i="15" s="1"/>
  <c r="P40" i="15"/>
  <c r="P40" i="15" a="1"/>
  <c r="O40" i="15" a="1"/>
  <c r="O40" i="15" s="1"/>
  <c r="N40" i="15"/>
  <c r="N40" i="15" a="1"/>
  <c r="M40" i="15"/>
  <c r="M40" i="15" a="1"/>
  <c r="L40" i="15"/>
  <c r="L40" i="15" a="1"/>
  <c r="K40" i="15" a="1"/>
  <c r="K40" i="15" s="1"/>
  <c r="J40" i="15" a="1"/>
  <c r="J40" i="15" s="1"/>
  <c r="I40" i="15" a="1"/>
  <c r="I40" i="15" s="1"/>
  <c r="H40" i="15"/>
  <c r="H40" i="15" a="1"/>
  <c r="G40" i="15" a="1"/>
  <c r="G40" i="15" s="1"/>
  <c r="F40" i="15"/>
  <c r="F40" i="15" a="1"/>
  <c r="E40" i="15"/>
  <c r="E40" i="15" a="1"/>
  <c r="D40" i="15"/>
  <c r="D40" i="15" a="1"/>
  <c r="Q39" i="15" a="1"/>
  <c r="Q39" i="15" s="1"/>
  <c r="P39" i="15" a="1"/>
  <c r="P39" i="15" s="1"/>
  <c r="O39" i="15" a="1"/>
  <c r="O39" i="15" s="1"/>
  <c r="N39" i="15"/>
  <c r="N39" i="15" a="1"/>
  <c r="M39" i="15" a="1"/>
  <c r="M39" i="15" s="1"/>
  <c r="L39" i="15"/>
  <c r="L39" i="15" a="1"/>
  <c r="K39" i="15"/>
  <c r="K39" i="15" a="1"/>
  <c r="J39" i="15"/>
  <c r="J39" i="15" a="1"/>
  <c r="I39" i="15" a="1"/>
  <c r="I39" i="15" s="1"/>
  <c r="H39" i="15" a="1"/>
  <c r="H39" i="15" s="1"/>
  <c r="G39" i="15" a="1"/>
  <c r="G39" i="15" s="1"/>
  <c r="F39" i="15"/>
  <c r="F39" i="15" a="1"/>
  <c r="E39" i="15" a="1"/>
  <c r="E39" i="15" s="1"/>
  <c r="D39" i="15"/>
  <c r="D39" i="15" a="1"/>
  <c r="Q38" i="15"/>
  <c r="Q38" i="15" a="1"/>
  <c r="P38" i="15"/>
  <c r="P38" i="15" a="1"/>
  <c r="O38" i="15" a="1"/>
  <c r="O38" i="15" s="1"/>
  <c r="N38" i="15" a="1"/>
  <c r="N38" i="15" s="1"/>
  <c r="M38" i="15" a="1"/>
  <c r="M38" i="15" s="1"/>
  <c r="L38" i="15"/>
  <c r="L38" i="15" a="1"/>
  <c r="K38" i="15" a="1"/>
  <c r="K38" i="15" s="1"/>
  <c r="J38" i="15"/>
  <c r="J38" i="15" a="1"/>
  <c r="I38" i="15"/>
  <c r="I38" i="15" a="1"/>
  <c r="H38" i="15"/>
  <c r="H38" i="15" a="1"/>
  <c r="G38" i="15" a="1"/>
  <c r="G38" i="15" s="1"/>
  <c r="F38" i="15" a="1"/>
  <c r="F38" i="15" s="1"/>
  <c r="E38" i="15" a="1"/>
  <c r="E38" i="15" s="1"/>
  <c r="D38" i="15"/>
  <c r="D38" i="15" a="1"/>
  <c r="Q37" i="15" a="1"/>
  <c r="Q37" i="15" s="1"/>
  <c r="P37" i="15"/>
  <c r="P37" i="15" a="1"/>
  <c r="O37" i="15" a="1"/>
  <c r="O37" i="15" s="1"/>
  <c r="N37" i="15"/>
  <c r="N37" i="15" a="1"/>
  <c r="M37" i="15" a="1"/>
  <c r="M37" i="15" s="1"/>
  <c r="L37" i="15" a="1"/>
  <c r="L37" i="15" s="1"/>
  <c r="K37" i="15" a="1"/>
  <c r="K37" i="15" s="1"/>
  <c r="J37" i="15"/>
  <c r="J37" i="15" a="1"/>
  <c r="I37" i="15" a="1"/>
  <c r="I37" i="15" s="1"/>
  <c r="H37" i="15"/>
  <c r="H37" i="15" a="1"/>
  <c r="G37" i="15" a="1"/>
  <c r="G37" i="15" s="1"/>
  <c r="F37" i="15"/>
  <c r="F37" i="15" a="1"/>
  <c r="E37" i="15" a="1"/>
  <c r="E37" i="15" s="1"/>
  <c r="D37" i="15" a="1"/>
  <c r="D37" i="15" s="1"/>
  <c r="Q36" i="15" a="1"/>
  <c r="Q36" i="15" s="1"/>
  <c r="P36" i="15"/>
  <c r="P36" i="15" a="1"/>
  <c r="O36" i="15" a="1"/>
  <c r="O36" i="15" s="1"/>
  <c r="N36" i="15"/>
  <c r="N36" i="15" a="1"/>
  <c r="M36" i="15" a="1"/>
  <c r="M36" i="15" s="1"/>
  <c r="L36" i="15"/>
  <c r="L36" i="15" a="1"/>
  <c r="K36" i="15" a="1"/>
  <c r="K36" i="15" s="1"/>
  <c r="J36" i="15" a="1"/>
  <c r="J36" i="15" s="1"/>
  <c r="I36" i="15" a="1"/>
  <c r="I36" i="15" s="1"/>
  <c r="H36" i="15"/>
  <c r="H36" i="15" a="1"/>
  <c r="G36" i="15" a="1"/>
  <c r="G36" i="15" s="1"/>
  <c r="F36" i="15"/>
  <c r="F36" i="15" a="1"/>
  <c r="E36" i="15" a="1"/>
  <c r="E36" i="15" s="1"/>
  <c r="D36" i="15"/>
  <c r="D36" i="15" a="1"/>
  <c r="Q35" i="15" a="1"/>
  <c r="Q35" i="15" s="1"/>
  <c r="P35" i="15" a="1"/>
  <c r="P35" i="15" s="1"/>
  <c r="O35" i="15" a="1"/>
  <c r="O35" i="15" s="1"/>
  <c r="N35" i="15"/>
  <c r="N35" i="15" a="1"/>
  <c r="M35" i="15" a="1"/>
  <c r="M35" i="15" s="1"/>
  <c r="L35" i="15"/>
  <c r="L35" i="15" a="1"/>
  <c r="K35" i="15" a="1"/>
  <c r="K35" i="15" s="1"/>
  <c r="J35" i="15"/>
  <c r="J35" i="15" a="1"/>
  <c r="I35" i="15" a="1"/>
  <c r="I35" i="15" s="1"/>
  <c r="H35" i="15" a="1"/>
  <c r="H35" i="15" s="1"/>
  <c r="G35" i="15" a="1"/>
  <c r="G35" i="15" s="1"/>
  <c r="F35" i="15"/>
  <c r="F35" i="15" a="1"/>
  <c r="E35" i="15" a="1"/>
  <c r="E35" i="15" s="1"/>
  <c r="D35" i="15"/>
  <c r="D35" i="15" a="1"/>
  <c r="Q34" i="15" a="1"/>
  <c r="Q34" i="15" s="1"/>
  <c r="P34" i="15"/>
  <c r="P34" i="15" a="1"/>
  <c r="O34" i="15" a="1"/>
  <c r="O34" i="15" s="1"/>
  <c r="N34" i="15" a="1"/>
  <c r="N34" i="15" s="1"/>
  <c r="M34" i="15" a="1"/>
  <c r="M34" i="15" s="1"/>
  <c r="L34" i="15"/>
  <c r="L34" i="15" a="1"/>
  <c r="K34" i="15" a="1"/>
  <c r="K34" i="15" s="1"/>
  <c r="J34" i="15"/>
  <c r="J34" i="15" a="1"/>
  <c r="I34" i="15" a="1"/>
  <c r="I34" i="15" s="1"/>
  <c r="H34" i="15"/>
  <c r="H34" i="15" a="1"/>
  <c r="G34" i="15" a="1"/>
  <c r="G34" i="15" s="1"/>
  <c r="F34" i="15" a="1"/>
  <c r="F34" i="15" s="1"/>
  <c r="E34" i="15" a="1"/>
  <c r="E34" i="15" s="1"/>
  <c r="D34" i="15"/>
  <c r="D34" i="15" a="1"/>
  <c r="Q33" i="15" a="1"/>
  <c r="Q33" i="15" s="1"/>
  <c r="P33" i="15"/>
  <c r="P33" i="15" a="1"/>
  <c r="O33" i="15" a="1"/>
  <c r="O33" i="15" s="1"/>
  <c r="N33" i="15"/>
  <c r="N33" i="15" a="1"/>
  <c r="M33" i="15" a="1"/>
  <c r="M33" i="15" s="1"/>
  <c r="L33" i="15" a="1"/>
  <c r="L33" i="15" s="1"/>
  <c r="K33" i="15" a="1"/>
  <c r="K33" i="15" s="1"/>
  <c r="J33" i="15"/>
  <c r="J33" i="15" a="1"/>
  <c r="I33" i="15" a="1"/>
  <c r="I33" i="15" s="1"/>
  <c r="H33" i="15"/>
  <c r="H33" i="15" a="1"/>
  <c r="G33" i="15" a="1"/>
  <c r="G33" i="15" s="1"/>
  <c r="F33" i="15"/>
  <c r="F33" i="15" a="1"/>
  <c r="E33" i="15" a="1"/>
  <c r="E33" i="15" s="1"/>
  <c r="D33" i="15" a="1"/>
  <c r="D33" i="15" s="1"/>
  <c r="Q32" i="15" a="1"/>
  <c r="Q32" i="15" s="1"/>
  <c r="P32" i="15"/>
  <c r="P32" i="15" a="1"/>
  <c r="O32" i="15" a="1"/>
  <c r="O32" i="15" s="1"/>
  <c r="N32" i="15"/>
  <c r="N32" i="15" a="1"/>
  <c r="M32" i="15" a="1"/>
  <c r="M32" i="15" s="1"/>
  <c r="L32" i="15"/>
  <c r="L32" i="15" a="1"/>
  <c r="K32" i="15" a="1"/>
  <c r="K32" i="15" s="1"/>
  <c r="J32" i="15" a="1"/>
  <c r="J32" i="15" s="1"/>
  <c r="I32" i="15" a="1"/>
  <c r="I32" i="15" s="1"/>
  <c r="H32" i="15"/>
  <c r="H32" i="15" a="1"/>
  <c r="G32" i="15" a="1"/>
  <c r="G32" i="15" s="1"/>
  <c r="F32" i="15"/>
  <c r="F32" i="15" a="1"/>
  <c r="E32" i="15" a="1"/>
  <c r="E32" i="15" s="1"/>
  <c r="D32" i="15"/>
  <c r="D32" i="15" a="1"/>
  <c r="Q31" i="15" a="1"/>
  <c r="Q31" i="15" s="1"/>
  <c r="P31" i="15" a="1"/>
  <c r="P31" i="15" s="1"/>
  <c r="O31" i="15" a="1"/>
  <c r="O31" i="15" s="1"/>
  <c r="N31" i="15"/>
  <c r="N31" i="15" a="1"/>
  <c r="M31" i="15" a="1"/>
  <c r="M31" i="15" s="1"/>
  <c r="L31" i="15"/>
  <c r="L31" i="15" a="1"/>
  <c r="K31" i="15" a="1"/>
  <c r="K31" i="15" s="1"/>
  <c r="J31" i="15"/>
  <c r="J31" i="15" a="1"/>
  <c r="I31" i="15" a="1"/>
  <c r="I31" i="15" s="1"/>
  <c r="H31" i="15" a="1"/>
  <c r="H31" i="15" s="1"/>
  <c r="G31" i="15" a="1"/>
  <c r="G31" i="15" s="1"/>
  <c r="F31" i="15"/>
  <c r="F31" i="15" a="1"/>
  <c r="E31" i="15" a="1"/>
  <c r="E31" i="15" s="1"/>
  <c r="D31" i="15"/>
  <c r="D31" i="15" a="1"/>
  <c r="Q30" i="15" a="1"/>
  <c r="Q30" i="15" s="1"/>
  <c r="P30" i="15"/>
  <c r="P30" i="15" a="1"/>
  <c r="O30" i="15" a="1"/>
  <c r="O30" i="15" s="1"/>
  <c r="N30" i="15" a="1"/>
  <c r="N30" i="15" s="1"/>
  <c r="M30" i="15" a="1"/>
  <c r="M30" i="15" s="1"/>
  <c r="L30" i="15"/>
  <c r="L30" i="15" a="1"/>
  <c r="K30" i="15" a="1"/>
  <c r="K30" i="15" s="1"/>
  <c r="J30" i="15"/>
  <c r="J30" i="15" a="1"/>
  <c r="I30" i="15" a="1"/>
  <c r="I30" i="15" s="1"/>
  <c r="H30" i="15"/>
  <c r="H30" i="15" a="1"/>
  <c r="G30" i="15" a="1"/>
  <c r="G30" i="15" s="1"/>
  <c r="F30" i="15" a="1"/>
  <c r="F30" i="15" s="1"/>
  <c r="E30" i="15" a="1"/>
  <c r="E30" i="15" s="1"/>
  <c r="D30" i="15"/>
  <c r="D30" i="15" a="1"/>
  <c r="Q29" i="15" a="1"/>
  <c r="Q29" i="15" s="1"/>
  <c r="P29" i="15"/>
  <c r="P29" i="15" a="1"/>
  <c r="O29" i="15" a="1"/>
  <c r="O29" i="15" s="1"/>
  <c r="N29" i="15"/>
  <c r="N29" i="15" a="1"/>
  <c r="M29" i="15" a="1"/>
  <c r="M29" i="15" s="1"/>
  <c r="L29" i="15" a="1"/>
  <c r="L29" i="15" s="1"/>
  <c r="K29" i="15" a="1"/>
  <c r="K29" i="15" s="1"/>
  <c r="J29" i="15"/>
  <c r="J29" i="15" a="1"/>
  <c r="I29" i="15" a="1"/>
  <c r="I29" i="15" s="1"/>
  <c r="H29" i="15"/>
  <c r="H29" i="15" a="1"/>
  <c r="G29" i="15" a="1"/>
  <c r="G29" i="15" s="1"/>
  <c r="F29" i="15"/>
  <c r="F29" i="15" a="1"/>
  <c r="E29" i="15" a="1"/>
  <c r="E29" i="15" s="1"/>
  <c r="D29" i="15" a="1"/>
  <c r="D29" i="15" s="1"/>
  <c r="Q28" i="15" a="1"/>
  <c r="Q28" i="15" s="1"/>
  <c r="P28" i="15"/>
  <c r="P28" i="15" a="1"/>
  <c r="O28" i="15" a="1"/>
  <c r="O28" i="15" s="1"/>
  <c r="N28" i="15"/>
  <c r="N28" i="15" a="1"/>
  <c r="M28" i="15" a="1"/>
  <c r="M28" i="15" s="1"/>
  <c r="L28" i="15"/>
  <c r="L28" i="15" a="1"/>
  <c r="K28" i="15" a="1"/>
  <c r="K28" i="15" s="1"/>
  <c r="J28" i="15" a="1"/>
  <c r="J28" i="15" s="1"/>
  <c r="I28" i="15" a="1"/>
  <c r="I28" i="15" s="1"/>
  <c r="H28" i="15"/>
  <c r="H28" i="15" a="1"/>
  <c r="G28" i="15" a="1"/>
  <c r="G28" i="15" s="1"/>
  <c r="F28" i="15"/>
  <c r="F28" i="15" a="1"/>
  <c r="E28" i="15" a="1"/>
  <c r="E28" i="15" s="1"/>
  <c r="D28" i="15"/>
  <c r="D28" i="15" a="1"/>
  <c r="Q27" i="15" a="1"/>
  <c r="Q27" i="15" s="1"/>
  <c r="P27" i="15" a="1"/>
  <c r="P27" i="15" s="1"/>
  <c r="O27" i="15" a="1"/>
  <c r="O27" i="15" s="1"/>
  <c r="N27" i="15"/>
  <c r="N27" i="15" a="1"/>
  <c r="M27" i="15" a="1"/>
  <c r="M27" i="15" s="1"/>
  <c r="L27" i="15"/>
  <c r="L27" i="15" a="1"/>
  <c r="K27" i="15" a="1"/>
  <c r="K27" i="15" s="1"/>
  <c r="J27" i="15"/>
  <c r="J27" i="15" a="1"/>
  <c r="I27" i="15" a="1"/>
  <c r="I27" i="15" s="1"/>
  <c r="H27" i="15" a="1"/>
  <c r="H27" i="15" s="1"/>
  <c r="G27" i="15" a="1"/>
  <c r="G27" i="15" s="1"/>
  <c r="F27" i="15"/>
  <c r="F27" i="15" a="1"/>
  <c r="E27" i="15" a="1"/>
  <c r="E27" i="15" s="1"/>
  <c r="D27" i="15"/>
  <c r="D27" i="15" a="1"/>
  <c r="Q26" i="15" a="1"/>
  <c r="Q26" i="15" s="1"/>
  <c r="P26" i="15"/>
  <c r="P26" i="15" a="1"/>
  <c r="O26" i="15" a="1"/>
  <c r="O26" i="15" s="1"/>
  <c r="N26" i="15" a="1"/>
  <c r="N26" i="15" s="1"/>
  <c r="M26" i="15" a="1"/>
  <c r="M26" i="15" s="1"/>
  <c r="L26" i="15"/>
  <c r="L26" i="15" a="1"/>
  <c r="K26" i="15" a="1"/>
  <c r="K26" i="15" s="1"/>
  <c r="J26" i="15"/>
  <c r="J26" i="15" a="1"/>
  <c r="I26" i="15" a="1"/>
  <c r="I26" i="15" s="1"/>
  <c r="H26" i="15"/>
  <c r="H26" i="15" a="1"/>
  <c r="G26" i="15" a="1"/>
  <c r="G26" i="15" s="1"/>
  <c r="F26" i="15" a="1"/>
  <c r="F26" i="15" s="1"/>
  <c r="E26" i="15" a="1"/>
  <c r="E26" i="15" s="1"/>
  <c r="D26" i="15"/>
  <c r="D26" i="15" a="1"/>
  <c r="Q25" i="15" a="1"/>
  <c r="Q25" i="15" s="1"/>
  <c r="P25" i="15"/>
  <c r="P25" i="15" a="1"/>
  <c r="O25" i="15" a="1"/>
  <c r="O25" i="15" s="1"/>
  <c r="N25" i="15"/>
  <c r="N25" i="15" a="1"/>
  <c r="M25" i="15" a="1"/>
  <c r="M25" i="15" s="1"/>
  <c r="L25" i="15" a="1"/>
  <c r="L25" i="15" s="1"/>
  <c r="K25" i="15" a="1"/>
  <c r="K25" i="15" s="1"/>
  <c r="J25" i="15"/>
  <c r="J25" i="15" a="1"/>
  <c r="I25" i="15" a="1"/>
  <c r="I25" i="15" s="1"/>
  <c r="H25" i="15"/>
  <c r="H25" i="15" a="1"/>
  <c r="G25" i="15" a="1"/>
  <c r="G25" i="15" s="1"/>
  <c r="F25" i="15"/>
  <c r="F25" i="15" a="1"/>
  <c r="E25" i="15" a="1"/>
  <c r="E25" i="15" s="1"/>
  <c r="D25" i="15" a="1"/>
  <c r="D25" i="15" s="1"/>
  <c r="Q24" i="15" a="1"/>
  <c r="Q24" i="15" s="1"/>
  <c r="P24" i="15"/>
  <c r="P24" i="15" a="1"/>
  <c r="O24" i="15" a="1"/>
  <c r="O24" i="15" s="1"/>
  <c r="N24" i="15"/>
  <c r="N24" i="15" a="1"/>
  <c r="M24" i="15" a="1"/>
  <c r="M24" i="15" s="1"/>
  <c r="L24" i="15"/>
  <c r="L24" i="15" a="1"/>
  <c r="K24" i="15" a="1"/>
  <c r="K24" i="15" s="1"/>
  <c r="J24" i="15" a="1"/>
  <c r="J24" i="15" s="1"/>
  <c r="I24" i="15" a="1"/>
  <c r="I24" i="15" s="1"/>
  <c r="H24" i="15"/>
  <c r="H24" i="15" a="1"/>
  <c r="G24" i="15" a="1"/>
  <c r="G24" i="15" s="1"/>
  <c r="F24" i="15"/>
  <c r="F24" i="15" a="1"/>
  <c r="E24" i="15" a="1"/>
  <c r="E24" i="15" s="1"/>
  <c r="D24" i="15"/>
  <c r="D24" i="15" a="1"/>
  <c r="Q23" i="15" a="1"/>
  <c r="Q23" i="15" s="1"/>
  <c r="P23" i="15" a="1"/>
  <c r="P23" i="15" s="1"/>
  <c r="O23" i="15" a="1"/>
  <c r="O23" i="15" s="1"/>
  <c r="N23" i="15"/>
  <c r="N23" i="15" a="1"/>
  <c r="M23" i="15" a="1"/>
  <c r="M23" i="15" s="1"/>
  <c r="L23" i="15"/>
  <c r="L23" i="15" a="1"/>
  <c r="K23" i="15" a="1"/>
  <c r="K23" i="15" s="1"/>
  <c r="J23" i="15"/>
  <c r="J23" i="15" a="1"/>
  <c r="I23" i="15" a="1"/>
  <c r="I23" i="15" s="1"/>
  <c r="H23" i="15" a="1"/>
  <c r="H23" i="15" s="1"/>
  <c r="G23" i="15" a="1"/>
  <c r="G23" i="15" s="1"/>
  <c r="F23" i="15"/>
  <c r="F23" i="15" a="1"/>
  <c r="E23" i="15" a="1"/>
  <c r="E23" i="15" s="1"/>
  <c r="D23" i="15"/>
  <c r="D23" i="15" a="1"/>
  <c r="Q22" i="15" a="1"/>
  <c r="Q22" i="15" s="1"/>
  <c r="P22" i="15"/>
  <c r="P22" i="15" a="1"/>
  <c r="O22" i="15" a="1"/>
  <c r="O22" i="15" s="1"/>
  <c r="N22" i="15" a="1"/>
  <c r="N22" i="15" s="1"/>
  <c r="M22" i="15" a="1"/>
  <c r="M22" i="15" s="1"/>
  <c r="L22" i="15" a="1"/>
  <c r="L22" i="15" s="1"/>
  <c r="K22" i="15" a="1"/>
  <c r="K22" i="15" s="1"/>
  <c r="J22" i="15"/>
  <c r="J22" i="15" a="1"/>
  <c r="I22" i="15" a="1"/>
  <c r="I22" i="15" s="1"/>
  <c r="H22" i="15"/>
  <c r="H22" i="15" a="1"/>
  <c r="G22" i="15" a="1"/>
  <c r="G22" i="15" s="1"/>
  <c r="F22" i="15" a="1"/>
  <c r="F22" i="15" s="1"/>
  <c r="E22" i="15" a="1"/>
  <c r="E22" i="15" s="1"/>
  <c r="D22" i="15" a="1"/>
  <c r="D22" i="15" s="1"/>
  <c r="Q21" i="15" a="1"/>
  <c r="Q21" i="15" s="1"/>
  <c r="P21" i="15"/>
  <c r="P21" i="15" a="1"/>
  <c r="O21" i="15" a="1"/>
  <c r="O21" i="15" s="1"/>
  <c r="N21" i="15"/>
  <c r="N21" i="15" a="1"/>
  <c r="M21" i="15" a="1"/>
  <c r="M21" i="15" s="1"/>
  <c r="L21" i="15" a="1"/>
  <c r="L21" i="15" s="1"/>
  <c r="K21" i="15" a="1"/>
  <c r="K21" i="15" s="1"/>
  <c r="J21" i="15" a="1"/>
  <c r="J21" i="15" s="1"/>
  <c r="I21" i="15" a="1"/>
  <c r="I21" i="15" s="1"/>
  <c r="H21" i="15"/>
  <c r="H21" i="15" a="1"/>
  <c r="G21" i="15" a="1"/>
  <c r="G21" i="15" s="1"/>
  <c r="F21" i="15"/>
  <c r="F21" i="15" a="1"/>
  <c r="E21" i="15" a="1"/>
  <c r="E21" i="15" s="1"/>
  <c r="D21" i="15" a="1"/>
  <c r="D21" i="15" s="1"/>
  <c r="Q20" i="15" a="1"/>
  <c r="Q20" i="15" s="1"/>
  <c r="P20" i="15" a="1"/>
  <c r="P20" i="15" s="1"/>
  <c r="O20" i="15" a="1"/>
  <c r="O20" i="15" s="1"/>
  <c r="N20" i="15"/>
  <c r="N20" i="15" a="1"/>
  <c r="M20" i="15" a="1"/>
  <c r="M20" i="15" s="1"/>
  <c r="L20" i="15"/>
  <c r="L20" i="15" a="1"/>
  <c r="K20" i="15" a="1"/>
  <c r="K20" i="15" s="1"/>
  <c r="J20" i="15" a="1"/>
  <c r="J20" i="15" s="1"/>
  <c r="I20" i="15" a="1"/>
  <c r="I20" i="15" s="1"/>
  <c r="H20" i="15" a="1"/>
  <c r="H20" i="15" s="1"/>
  <c r="G20" i="15" a="1"/>
  <c r="G20" i="15" s="1"/>
  <c r="F20" i="15"/>
  <c r="F20" i="15" a="1"/>
  <c r="E20" i="15" a="1"/>
  <c r="E20" i="15" s="1"/>
  <c r="D20" i="15"/>
  <c r="D20" i="15" a="1"/>
  <c r="Q19" i="15" a="1"/>
  <c r="Q19" i="15" s="1"/>
  <c r="P19" i="15" a="1"/>
  <c r="P19" i="15" s="1"/>
  <c r="O19" i="15" a="1"/>
  <c r="O19" i="15" s="1"/>
  <c r="N19" i="15" a="1"/>
  <c r="N19" i="15" s="1"/>
  <c r="M19" i="15" a="1"/>
  <c r="M19" i="15" s="1"/>
  <c r="L19" i="15"/>
  <c r="L19" i="15" a="1"/>
  <c r="K19" i="15" a="1"/>
  <c r="K19" i="15" s="1"/>
  <c r="J19" i="15"/>
  <c r="J19" i="15" a="1"/>
  <c r="I19" i="15" a="1"/>
  <c r="I19" i="15" s="1"/>
  <c r="H19" i="15" a="1"/>
  <c r="H19" i="15" s="1"/>
  <c r="G19" i="15" a="1"/>
  <c r="G19" i="15" s="1"/>
  <c r="F19" i="15" a="1"/>
  <c r="F19" i="15" s="1"/>
  <c r="E19" i="15" a="1"/>
  <c r="E19" i="15" s="1"/>
  <c r="D19" i="15"/>
  <c r="D19" i="15" a="1"/>
  <c r="Q18" i="15" a="1"/>
  <c r="Q18" i="15" s="1"/>
  <c r="P18" i="15"/>
  <c r="P18" i="15" a="1"/>
  <c r="O18" i="15" a="1"/>
  <c r="O18" i="15" s="1"/>
  <c r="N18" i="15" a="1"/>
  <c r="N18" i="15" s="1"/>
  <c r="M18" i="15" a="1"/>
  <c r="M18" i="15" s="1"/>
  <c r="L18" i="15" a="1"/>
  <c r="L18" i="15" s="1"/>
  <c r="K18" i="15" a="1"/>
  <c r="K18" i="15" s="1"/>
  <c r="J18" i="15"/>
  <c r="J18" i="15" a="1"/>
  <c r="I18" i="15" a="1"/>
  <c r="I18" i="15" s="1"/>
  <c r="H18" i="15"/>
  <c r="H18" i="15" a="1"/>
  <c r="G18" i="15" a="1"/>
  <c r="G18" i="15" s="1"/>
  <c r="F18" i="15" a="1"/>
  <c r="F18" i="15" s="1"/>
  <c r="E18" i="15" a="1"/>
  <c r="E18" i="15" s="1"/>
  <c r="D18" i="15" a="1"/>
  <c r="D18" i="15" s="1"/>
  <c r="Q17" i="15" a="1"/>
  <c r="Q17" i="15" s="1"/>
  <c r="P17" i="15" a="1"/>
  <c r="P17" i="15" s="1"/>
  <c r="O17" i="15" a="1"/>
  <c r="O17" i="15" s="1"/>
  <c r="N17" i="15"/>
  <c r="N17" i="15" a="1"/>
  <c r="M17" i="15" a="1"/>
  <c r="M17" i="15" s="1"/>
  <c r="L17" i="15" a="1"/>
  <c r="L17" i="15" s="1"/>
  <c r="K17" i="15" a="1"/>
  <c r="K17" i="15" s="1"/>
  <c r="J17" i="15" a="1"/>
  <c r="J17" i="15" s="1"/>
  <c r="I17" i="15" a="1"/>
  <c r="I17" i="15" s="1"/>
  <c r="H17" i="15" a="1"/>
  <c r="H17" i="15" s="1"/>
  <c r="G17" i="15" a="1"/>
  <c r="G17" i="15" s="1"/>
  <c r="F17" i="15"/>
  <c r="F17" i="15" a="1"/>
  <c r="E17" i="15" a="1"/>
  <c r="E17" i="15" s="1"/>
  <c r="D17" i="15" a="1"/>
  <c r="D17" i="15" s="1"/>
  <c r="Q16" i="15" a="1"/>
  <c r="Q16" i="15" s="1"/>
  <c r="P16" i="15" a="1"/>
  <c r="P16" i="15" s="1"/>
  <c r="O16" i="15" a="1"/>
  <c r="O16" i="15" s="1"/>
  <c r="N16" i="15" a="1"/>
  <c r="N16" i="15" s="1"/>
  <c r="M16" i="15" a="1"/>
  <c r="M16" i="15" s="1"/>
  <c r="L16" i="15"/>
  <c r="L16" i="15" a="1"/>
  <c r="K16" i="15" a="1"/>
  <c r="K16" i="15" s="1"/>
  <c r="J16" i="15" a="1"/>
  <c r="J16" i="15" s="1"/>
  <c r="I16" i="15" a="1"/>
  <c r="I16" i="15" s="1"/>
  <c r="H16" i="15" a="1"/>
  <c r="H16" i="15" s="1"/>
  <c r="G16" i="15" a="1"/>
  <c r="G16" i="15" s="1"/>
  <c r="F16" i="15" a="1"/>
  <c r="F16" i="15" s="1"/>
  <c r="E16" i="15" a="1"/>
  <c r="E16" i="15" s="1"/>
  <c r="D16" i="15"/>
  <c r="D16" i="15" a="1"/>
  <c r="Q15" i="15" a="1"/>
  <c r="Q15" i="15" s="1"/>
  <c r="P15" i="15" a="1"/>
  <c r="P15" i="15" s="1"/>
  <c r="O15" i="15" a="1"/>
  <c r="O15" i="15" s="1"/>
  <c r="N15" i="15" a="1"/>
  <c r="N15" i="15" s="1"/>
  <c r="M15" i="15" a="1"/>
  <c r="M15" i="15" s="1"/>
  <c r="L15" i="15" a="1"/>
  <c r="L15" i="15" s="1"/>
  <c r="K15" i="15" a="1"/>
  <c r="K15" i="15" s="1"/>
  <c r="J15" i="15"/>
  <c r="J15" i="15" a="1"/>
  <c r="I15" i="15" a="1"/>
  <c r="I15" i="15" s="1"/>
  <c r="H15" i="15" a="1"/>
  <c r="H15" i="15" s="1"/>
  <c r="G15" i="15" a="1"/>
  <c r="G15" i="15" s="1"/>
  <c r="F15" i="15" a="1"/>
  <c r="F15" i="15" s="1"/>
  <c r="E15" i="15" a="1"/>
  <c r="E15" i="15" s="1"/>
  <c r="D15" i="15" a="1"/>
  <c r="D15" i="15" s="1"/>
  <c r="Q14" i="15" a="1"/>
  <c r="Q14" i="15" s="1"/>
  <c r="P14" i="15"/>
  <c r="P14" i="15" a="1"/>
  <c r="O14" i="15" a="1"/>
  <c r="O14" i="15" s="1"/>
  <c r="N14" i="15" a="1"/>
  <c r="N14" i="15" s="1"/>
  <c r="M14" i="15" a="1"/>
  <c r="M14" i="15" s="1"/>
  <c r="L14" i="15" a="1"/>
  <c r="L14" i="15" s="1"/>
  <c r="K14" i="15" a="1"/>
  <c r="K14" i="15" s="1"/>
  <c r="J14" i="15" a="1"/>
  <c r="J14" i="15" s="1"/>
  <c r="I14" i="15" a="1"/>
  <c r="I14" i="15" s="1"/>
  <c r="H14" i="15"/>
  <c r="H14" i="15" a="1"/>
  <c r="G14" i="15" a="1"/>
  <c r="G14" i="15" s="1"/>
  <c r="F14" i="15" a="1"/>
  <c r="F14" i="15" s="1"/>
  <c r="E14" i="15" a="1"/>
  <c r="E14" i="15" s="1"/>
  <c r="D14" i="15" a="1"/>
  <c r="D14" i="15" s="1"/>
  <c r="Q13" i="15" a="1"/>
  <c r="Q13" i="15" s="1"/>
  <c r="P13" i="15" a="1"/>
  <c r="P13" i="15" s="1"/>
  <c r="O13" i="15" a="1"/>
  <c r="O13" i="15" s="1"/>
  <c r="N13" i="15"/>
  <c r="N13" i="15" a="1"/>
  <c r="M13" i="15" a="1"/>
  <c r="M13" i="15" s="1"/>
  <c r="L13" i="15" a="1"/>
  <c r="L13" i="15" s="1"/>
  <c r="K13" i="15" a="1"/>
  <c r="K13" i="15" s="1"/>
  <c r="J13" i="15" a="1"/>
  <c r="J13" i="15" s="1"/>
  <c r="I13" i="15" a="1"/>
  <c r="I13" i="15" s="1"/>
  <c r="H13" i="15" a="1"/>
  <c r="H13" i="15" s="1"/>
  <c r="G13" i="15" a="1"/>
  <c r="G13" i="15" s="1"/>
  <c r="F13" i="15"/>
  <c r="F13" i="15" a="1"/>
  <c r="E13" i="15" a="1"/>
  <c r="E13" i="15" s="1"/>
  <c r="D13" i="15" a="1"/>
  <c r="D13" i="15" s="1"/>
  <c r="Q12" i="15" a="1"/>
  <c r="Q12" i="15" s="1"/>
  <c r="P12" i="15" a="1"/>
  <c r="P12" i="15" s="1"/>
  <c r="O12" i="15" a="1"/>
  <c r="O12" i="15" s="1"/>
  <c r="N12" i="15" a="1"/>
  <c r="N12" i="15" s="1"/>
  <c r="M12" i="15" a="1"/>
  <c r="M12" i="15" s="1"/>
  <c r="L12" i="15"/>
  <c r="L12" i="15" a="1"/>
  <c r="K12" i="15" a="1"/>
  <c r="K12" i="15" s="1"/>
  <c r="J12" i="15" a="1"/>
  <c r="J12" i="15" s="1"/>
  <c r="I12" i="15" a="1"/>
  <c r="I12" i="15" s="1"/>
  <c r="H12" i="15" a="1"/>
  <c r="H12" i="15" s="1"/>
  <c r="G12" i="15" a="1"/>
  <c r="G12" i="15" s="1"/>
  <c r="F12" i="15" a="1"/>
  <c r="F12" i="15" s="1"/>
  <c r="E12" i="15" a="1"/>
  <c r="E12" i="15" s="1"/>
  <c r="D12" i="15"/>
  <c r="D12" i="15" a="1"/>
  <c r="Q11" i="15" a="1"/>
  <c r="Q11" i="15" s="1"/>
  <c r="P11" i="15" a="1"/>
  <c r="P11" i="15" s="1"/>
  <c r="O11" i="15" a="1"/>
  <c r="O11" i="15" s="1"/>
  <c r="N11" i="15" a="1"/>
  <c r="N11" i="15" s="1"/>
  <c r="M11" i="15" a="1"/>
  <c r="M11" i="15" s="1"/>
  <c r="L11" i="15" a="1"/>
  <c r="L11" i="15" s="1"/>
  <c r="K11" i="15" a="1"/>
  <c r="K11" i="15" s="1"/>
  <c r="J11" i="15"/>
  <c r="J11" i="15" a="1"/>
  <c r="I11" i="15" a="1"/>
  <c r="I11" i="15" s="1"/>
  <c r="H11" i="15" a="1"/>
  <c r="H11" i="15" s="1"/>
  <c r="G11" i="15" a="1"/>
  <c r="G11" i="15" s="1"/>
  <c r="F11" i="15" a="1"/>
  <c r="F11" i="15" s="1"/>
  <c r="E11" i="15" a="1"/>
  <c r="E11" i="15" s="1"/>
  <c r="D11" i="15" a="1"/>
  <c r="D11" i="15" s="1"/>
  <c r="Q10" i="15" a="1"/>
  <c r="Q10" i="15" s="1"/>
  <c r="P10" i="15"/>
  <c r="P10" i="15" a="1"/>
  <c r="O10" i="15" a="1"/>
  <c r="O10" i="15" s="1"/>
  <c r="N10" i="15" a="1"/>
  <c r="N10" i="15" s="1"/>
  <c r="M10" i="15" a="1"/>
  <c r="M10" i="15" s="1"/>
  <c r="L10" i="15" a="1"/>
  <c r="L10" i="15" s="1"/>
  <c r="K10" i="15" a="1"/>
  <c r="K10" i="15" s="1"/>
  <c r="J10" i="15" a="1"/>
  <c r="J10" i="15" s="1"/>
  <c r="I10" i="15" a="1"/>
  <c r="I10" i="15" s="1"/>
  <c r="H10" i="15"/>
  <c r="H10" i="15" a="1"/>
  <c r="G10" i="15" a="1"/>
  <c r="G10" i="15" s="1"/>
  <c r="F10" i="15" a="1"/>
  <c r="F10" i="15" s="1"/>
  <c r="E10" i="15" a="1"/>
  <c r="E10" i="15" s="1"/>
  <c r="D10" i="15" a="1"/>
  <c r="D10" i="15" s="1"/>
  <c r="Q9" i="15" a="1"/>
  <c r="Q9" i="15" s="1"/>
  <c r="P9" i="15" a="1"/>
  <c r="P9" i="15" s="1"/>
  <c r="O9" i="15" a="1"/>
  <c r="O9" i="15" s="1"/>
  <c r="N9" i="15"/>
  <c r="N9" i="15" a="1"/>
  <c r="M9" i="15" a="1"/>
  <c r="M9" i="15" s="1"/>
  <c r="L9" i="15" a="1"/>
  <c r="L9" i="15" s="1"/>
  <c r="K9" i="15" a="1"/>
  <c r="K9" i="15" s="1"/>
  <c r="J9" i="15" a="1"/>
  <c r="J9" i="15" s="1"/>
  <c r="I9" i="15" a="1"/>
  <c r="I9" i="15" s="1"/>
  <c r="H9" i="15" a="1"/>
  <c r="H9" i="15" s="1"/>
  <c r="G9" i="15" a="1"/>
  <c r="G9" i="15" s="1"/>
  <c r="F9" i="15"/>
  <c r="F9" i="15" a="1"/>
  <c r="E9" i="15" a="1"/>
  <c r="E9" i="15" s="1"/>
  <c r="D9" i="15" a="1"/>
  <c r="D9" i="15" s="1"/>
  <c r="Q8" i="15" a="1"/>
  <c r="Q8" i="15" s="1"/>
  <c r="P8" i="15" a="1"/>
  <c r="P8" i="15" s="1"/>
  <c r="O8" i="15" a="1"/>
  <c r="O8" i="15" s="1"/>
  <c r="N8" i="15" a="1"/>
  <c r="N8" i="15" s="1"/>
  <c r="M8" i="15" a="1"/>
  <c r="M8" i="15" s="1"/>
  <c r="L8" i="15"/>
  <c r="L8" i="15" a="1"/>
  <c r="K8" i="15" a="1"/>
  <c r="K8" i="15" s="1"/>
  <c r="J8" i="15" a="1"/>
  <c r="J8" i="15" s="1"/>
  <c r="I8" i="15" a="1"/>
  <c r="I8" i="15" s="1"/>
  <c r="H8" i="15" a="1"/>
  <c r="H8" i="15" s="1"/>
  <c r="G8" i="15" a="1"/>
  <c r="G8" i="15" s="1"/>
  <c r="F8" i="15" a="1"/>
  <c r="F8" i="15" s="1"/>
  <c r="E8" i="15" a="1"/>
  <c r="E8" i="15" s="1"/>
  <c r="D8" i="15"/>
  <c r="D8" i="15" a="1"/>
  <c r="Q7" i="15" a="1"/>
  <c r="Q7" i="15" s="1"/>
  <c r="P7" i="15" a="1"/>
  <c r="P7" i="15" s="1"/>
  <c r="O7" i="15" a="1"/>
  <c r="O7" i="15" s="1"/>
  <c r="N7" i="15" a="1"/>
  <c r="N7" i="15" s="1"/>
  <c r="M7" i="15" a="1"/>
  <c r="M7" i="15" s="1"/>
  <c r="L7" i="15" a="1"/>
  <c r="L7" i="15" s="1"/>
  <c r="K7" i="15" a="1"/>
  <c r="K7" i="15" s="1"/>
  <c r="J7" i="15"/>
  <c r="J7" i="15" a="1"/>
  <c r="I7" i="15" a="1"/>
  <c r="I7" i="15" s="1"/>
  <c r="H7" i="15" a="1"/>
  <c r="H7" i="15" s="1"/>
  <c r="G7" i="15" a="1"/>
  <c r="G7" i="15" s="1"/>
  <c r="F7" i="15" a="1"/>
  <c r="F7" i="15" s="1"/>
  <c r="E7" i="15" a="1"/>
  <c r="E7" i="15" s="1"/>
  <c r="D7" i="15" a="1"/>
  <c r="D7" i="15" s="1"/>
  <c r="Q6" i="15" a="1"/>
  <c r="Q6" i="15" s="1"/>
  <c r="P6" i="15"/>
  <c r="P6" i="15" a="1"/>
  <c r="O6" i="15" a="1"/>
  <c r="O6" i="15" s="1"/>
  <c r="N6" i="15" a="1"/>
  <c r="N6" i="15" s="1"/>
  <c r="M6" i="15" a="1"/>
  <c r="M6" i="15" s="1"/>
  <c r="L6" i="15" a="1"/>
  <c r="L6" i="15" s="1"/>
  <c r="K6" i="15" a="1"/>
  <c r="K6" i="15" s="1"/>
  <c r="J6" i="15" a="1"/>
  <c r="J6" i="15" s="1"/>
  <c r="I6" i="15" a="1"/>
  <c r="I6" i="15" s="1"/>
  <c r="H6" i="15"/>
  <c r="H6" i="15" a="1"/>
  <c r="G6" i="15" a="1"/>
  <c r="G6" i="15" s="1"/>
  <c r="F6" i="15" a="1"/>
  <c r="F6" i="15" s="1"/>
  <c r="E6" i="15" a="1"/>
  <c r="E6" i="15" s="1"/>
  <c r="D6" i="15" a="1"/>
  <c r="D6" i="15" s="1"/>
  <c r="Q5" i="15" a="1"/>
  <c r="Q5" i="15" s="1"/>
  <c r="P5" i="15" a="1"/>
  <c r="P5" i="15" s="1"/>
  <c r="O5" i="15" a="1"/>
  <c r="O5" i="15" s="1"/>
  <c r="N5" i="15"/>
  <c r="N5" i="15" a="1"/>
  <c r="M5" i="15" a="1"/>
  <c r="M5" i="15" s="1"/>
  <c r="L5" i="15" a="1"/>
  <c r="L5" i="15" s="1"/>
  <c r="K5" i="15" a="1"/>
  <c r="K5" i="15" s="1"/>
  <c r="J5" i="15" a="1"/>
  <c r="J5" i="15" s="1"/>
  <c r="I5" i="15" a="1"/>
  <c r="I5" i="15" s="1"/>
  <c r="H5" i="15" a="1"/>
  <c r="H5" i="15" s="1"/>
  <c r="G5" i="15" a="1"/>
  <c r="G5" i="15" s="1"/>
  <c r="F5" i="15"/>
  <c r="F5" i="15" a="1"/>
  <c r="E5" i="15" a="1"/>
  <c r="E5" i="15" s="1"/>
  <c r="D5" i="15" a="1"/>
  <c r="D5" i="15" s="1"/>
  <c r="Q4" i="15" a="1"/>
  <c r="Q4" i="15" s="1"/>
  <c r="P4" i="15" a="1"/>
  <c r="P4" i="15" s="1"/>
  <c r="O4" i="15" a="1"/>
  <c r="O4" i="15" s="1"/>
  <c r="N4" i="15" a="1"/>
  <c r="N4" i="15" s="1"/>
  <c r="M4" i="15" a="1"/>
  <c r="M4" i="15" s="1"/>
  <c r="L4" i="15"/>
  <c r="L4" i="15" a="1"/>
  <c r="K4" i="15" a="1"/>
  <c r="K4" i="15" s="1"/>
  <c r="J4" i="15" a="1"/>
  <c r="J4" i="15" s="1"/>
  <c r="I4" i="15" a="1"/>
  <c r="I4" i="15" s="1"/>
  <c r="H4" i="15" a="1"/>
  <c r="H4" i="15" s="1"/>
  <c r="G4" i="15" a="1"/>
  <c r="G4" i="15" s="1"/>
  <c r="F4" i="15" a="1"/>
  <c r="F4" i="15" s="1"/>
  <c r="E4" i="15" a="1"/>
  <c r="E4" i="15" s="1"/>
  <c r="D4" i="15"/>
  <c r="D4" i="15" a="1"/>
  <c r="Q3" i="15" a="1"/>
  <c r="Q3" i="15" s="1"/>
  <c r="P3" i="15" a="1"/>
  <c r="P3" i="15" s="1"/>
  <c r="O3" i="15" a="1"/>
  <c r="O3" i="15" s="1"/>
  <c r="N3" i="15" a="1"/>
  <c r="N3" i="15" s="1"/>
  <c r="M3" i="15" a="1"/>
  <c r="M3" i="15" s="1"/>
  <c r="L3" i="15" a="1"/>
  <c r="L3" i="15" s="1"/>
  <c r="K3" i="15" a="1"/>
  <c r="K3" i="15" s="1"/>
  <c r="J3" i="15"/>
  <c r="J3" i="15" a="1"/>
  <c r="I3" i="15" a="1"/>
  <c r="I3" i="15" s="1"/>
  <c r="H3" i="15" a="1"/>
  <c r="H3" i="15" s="1"/>
  <c r="G3" i="15" a="1"/>
  <c r="G3" i="15" s="1"/>
  <c r="F3" i="15" a="1"/>
  <c r="F3" i="15" s="1"/>
  <c r="E3" i="15" a="1"/>
  <c r="E3" i="15" s="1"/>
  <c r="D3" i="15" a="1"/>
  <c r="D3" i="15" s="1"/>
  <c r="Q2" i="15" a="1"/>
  <c r="Q2" i="15" s="1"/>
  <c r="P2" i="15"/>
  <c r="P2" i="15" a="1"/>
  <c r="O2" i="15" a="1"/>
  <c r="O2" i="15" s="1"/>
  <c r="N2" i="15" a="1"/>
  <c r="N2" i="15" s="1"/>
  <c r="M2" i="15" a="1"/>
  <c r="M2" i="15" s="1"/>
  <c r="L2" i="15" a="1"/>
  <c r="L2" i="15" s="1"/>
  <c r="K2" i="15" a="1"/>
  <c r="K2" i="15" s="1"/>
  <c r="J2" i="15" a="1"/>
  <c r="J2" i="15" s="1"/>
  <c r="I2" i="15" a="1"/>
  <c r="I2" i="15" s="1"/>
  <c r="H2" i="15"/>
  <c r="H2" i="15" a="1"/>
  <c r="G2" i="15" a="1"/>
  <c r="G2" i="15" s="1"/>
  <c r="F2" i="15" a="1"/>
  <c r="F2" i="15" s="1"/>
  <c r="E2" i="15" a="1"/>
  <c r="E2" i="15" s="1"/>
  <c r="D2" i="15" a="1"/>
  <c r="D2" i="15" s="1"/>
  <c r="D2" i="12" a="1"/>
  <c r="D2" i="12" s="1"/>
  <c r="Q41" i="12" a="1"/>
  <c r="Q41" i="12" s="1"/>
  <c r="P41" i="12" a="1"/>
  <c r="P41" i="12" s="1"/>
  <c r="O41" i="12" a="1"/>
  <c r="O41" i="12" s="1"/>
  <c r="N41" i="12"/>
  <c r="N41" i="12" a="1"/>
  <c r="M41" i="12" a="1"/>
  <c r="M41" i="12" s="1"/>
  <c r="L41" i="12" a="1"/>
  <c r="L41" i="12" s="1"/>
  <c r="K41" i="12" a="1"/>
  <c r="K41" i="12" s="1"/>
  <c r="J41" i="12" a="1"/>
  <c r="J41" i="12" s="1"/>
  <c r="I41" i="12" a="1"/>
  <c r="I41" i="12" s="1"/>
  <c r="H41" i="12" a="1"/>
  <c r="H41" i="12" s="1"/>
  <c r="G41" i="12" a="1"/>
  <c r="G41" i="12" s="1"/>
  <c r="F41" i="12"/>
  <c r="F41" i="12" a="1"/>
  <c r="E41" i="12" a="1"/>
  <c r="E41" i="12" s="1"/>
  <c r="D41" i="12" a="1"/>
  <c r="D41" i="12" s="1"/>
  <c r="Q40" i="12" a="1"/>
  <c r="Q40" i="12" s="1"/>
  <c r="P40" i="12" a="1"/>
  <c r="P40" i="12" s="1"/>
  <c r="O40" i="12" a="1"/>
  <c r="O40" i="12" s="1"/>
  <c r="N40" i="12" a="1"/>
  <c r="N40" i="12" s="1"/>
  <c r="M40" i="12" a="1"/>
  <c r="M40" i="12" s="1"/>
  <c r="L40" i="12"/>
  <c r="L40" i="12" a="1"/>
  <c r="K40" i="12" a="1"/>
  <c r="K40" i="12" s="1"/>
  <c r="J40" i="12" a="1"/>
  <c r="J40" i="12" s="1"/>
  <c r="I40" i="12" a="1"/>
  <c r="I40" i="12" s="1"/>
  <c r="H40" i="12" a="1"/>
  <c r="H40" i="12" s="1"/>
  <c r="G40" i="12" a="1"/>
  <c r="G40" i="12" s="1"/>
  <c r="F40" i="12" a="1"/>
  <c r="F40" i="12" s="1"/>
  <c r="E40" i="12" a="1"/>
  <c r="E40" i="12" s="1"/>
  <c r="D40" i="12"/>
  <c r="D40" i="12" a="1"/>
  <c r="Q39" i="12" a="1"/>
  <c r="Q39" i="12" s="1"/>
  <c r="P39" i="12" a="1"/>
  <c r="P39" i="12" s="1"/>
  <c r="O39" i="12" a="1"/>
  <c r="O39" i="12" s="1"/>
  <c r="N39" i="12" a="1"/>
  <c r="N39" i="12" s="1"/>
  <c r="M39" i="12" a="1"/>
  <c r="M39" i="12" s="1"/>
  <c r="L39" i="12" a="1"/>
  <c r="L39" i="12" s="1"/>
  <c r="K39" i="12" a="1"/>
  <c r="K39" i="12" s="1"/>
  <c r="J39" i="12"/>
  <c r="J39" i="12" a="1"/>
  <c r="I39" i="12" a="1"/>
  <c r="I39" i="12" s="1"/>
  <c r="H39" i="12" a="1"/>
  <c r="H39" i="12" s="1"/>
  <c r="G39" i="12" a="1"/>
  <c r="G39" i="12" s="1"/>
  <c r="F39" i="12" a="1"/>
  <c r="F39" i="12" s="1"/>
  <c r="E39" i="12" a="1"/>
  <c r="E39" i="12" s="1"/>
  <c r="D39" i="12" a="1"/>
  <c r="D39" i="12" s="1"/>
  <c r="Q38" i="12" a="1"/>
  <c r="Q38" i="12" s="1"/>
  <c r="P38" i="12"/>
  <c r="P38" i="12" a="1"/>
  <c r="O38" i="12" a="1"/>
  <c r="O38" i="12" s="1"/>
  <c r="N38" i="12" a="1"/>
  <c r="N38" i="12" s="1"/>
  <c r="M38" i="12" a="1"/>
  <c r="M38" i="12" s="1"/>
  <c r="L38" i="12" a="1"/>
  <c r="L38" i="12" s="1"/>
  <c r="K38" i="12" a="1"/>
  <c r="K38" i="12" s="1"/>
  <c r="J38" i="12" a="1"/>
  <c r="J38" i="12" s="1"/>
  <c r="I38" i="12" a="1"/>
  <c r="I38" i="12" s="1"/>
  <c r="H38" i="12"/>
  <c r="H38" i="12" a="1"/>
  <c r="G38" i="12" a="1"/>
  <c r="G38" i="12" s="1"/>
  <c r="F38" i="12" a="1"/>
  <c r="F38" i="12" s="1"/>
  <c r="E38" i="12" a="1"/>
  <c r="E38" i="12" s="1"/>
  <c r="D38" i="12" a="1"/>
  <c r="D38" i="12" s="1"/>
  <c r="Q37" i="12" a="1"/>
  <c r="Q37" i="12" s="1"/>
  <c r="P37" i="12" a="1"/>
  <c r="P37" i="12" s="1"/>
  <c r="O37" i="12" a="1"/>
  <c r="O37" i="12" s="1"/>
  <c r="N37" i="12"/>
  <c r="N37" i="12" a="1"/>
  <c r="M37" i="12" a="1"/>
  <c r="M37" i="12" s="1"/>
  <c r="L37" i="12" a="1"/>
  <c r="L37" i="12" s="1"/>
  <c r="K37" i="12" a="1"/>
  <c r="K37" i="12" s="1"/>
  <c r="J37" i="12" a="1"/>
  <c r="J37" i="12" s="1"/>
  <c r="I37" i="12" a="1"/>
  <c r="I37" i="12" s="1"/>
  <c r="H37" i="12" a="1"/>
  <c r="H37" i="12" s="1"/>
  <c r="G37" i="12" a="1"/>
  <c r="G37" i="12" s="1"/>
  <c r="F37" i="12"/>
  <c r="F37" i="12" a="1"/>
  <c r="E37" i="12" a="1"/>
  <c r="E37" i="12" s="1"/>
  <c r="D37" i="12" a="1"/>
  <c r="D37" i="12" s="1"/>
  <c r="Q36" i="12" a="1"/>
  <c r="Q36" i="12" s="1"/>
  <c r="P36" i="12" a="1"/>
  <c r="P36" i="12" s="1"/>
  <c r="O36" i="12" a="1"/>
  <c r="O36" i="12" s="1"/>
  <c r="N36" i="12" a="1"/>
  <c r="N36" i="12" s="1"/>
  <c r="M36" i="12" a="1"/>
  <c r="M36" i="12" s="1"/>
  <c r="L36" i="12"/>
  <c r="L36" i="12" a="1"/>
  <c r="K36" i="12" a="1"/>
  <c r="K36" i="12" s="1"/>
  <c r="J36" i="12" a="1"/>
  <c r="J36" i="12" s="1"/>
  <c r="I36" i="12" a="1"/>
  <c r="I36" i="12" s="1"/>
  <c r="H36" i="12" a="1"/>
  <c r="H36" i="12" s="1"/>
  <c r="G36" i="12" a="1"/>
  <c r="G36" i="12" s="1"/>
  <c r="F36" i="12" a="1"/>
  <c r="F36" i="12" s="1"/>
  <c r="E36" i="12" a="1"/>
  <c r="E36" i="12" s="1"/>
  <c r="D36" i="12"/>
  <c r="D36" i="12" a="1"/>
  <c r="Q35" i="12" a="1"/>
  <c r="Q35" i="12" s="1"/>
  <c r="P35" i="12" a="1"/>
  <c r="P35" i="12" s="1"/>
  <c r="O35" i="12" a="1"/>
  <c r="O35" i="12" s="1"/>
  <c r="N35" i="12" a="1"/>
  <c r="N35" i="12" s="1"/>
  <c r="M35" i="12" a="1"/>
  <c r="M35" i="12" s="1"/>
  <c r="L35" i="12" a="1"/>
  <c r="L35" i="12" s="1"/>
  <c r="K35" i="12" a="1"/>
  <c r="K35" i="12" s="1"/>
  <c r="J35" i="12"/>
  <c r="J35" i="12" a="1"/>
  <c r="I35" i="12" a="1"/>
  <c r="I35" i="12" s="1"/>
  <c r="H35" i="12" a="1"/>
  <c r="H35" i="12" s="1"/>
  <c r="G35" i="12" a="1"/>
  <c r="G35" i="12" s="1"/>
  <c r="F35" i="12" a="1"/>
  <c r="F35" i="12" s="1"/>
  <c r="E35" i="12" a="1"/>
  <c r="E35" i="12" s="1"/>
  <c r="D35" i="12" a="1"/>
  <c r="D35" i="12" s="1"/>
  <c r="Q34" i="12" a="1"/>
  <c r="Q34" i="12" s="1"/>
  <c r="P34" i="12"/>
  <c r="P34" i="12" a="1"/>
  <c r="O34" i="12" a="1"/>
  <c r="O34" i="12" s="1"/>
  <c r="N34" i="12" a="1"/>
  <c r="N34" i="12" s="1"/>
  <c r="M34" i="12" a="1"/>
  <c r="M34" i="12" s="1"/>
  <c r="L34" i="12" a="1"/>
  <c r="L34" i="12" s="1"/>
  <c r="K34" i="12" a="1"/>
  <c r="K34" i="12" s="1"/>
  <c r="J34" i="12" a="1"/>
  <c r="J34" i="12" s="1"/>
  <c r="I34" i="12" a="1"/>
  <c r="I34" i="12" s="1"/>
  <c r="H34" i="12"/>
  <c r="H34" i="12" a="1"/>
  <c r="G34" i="12" a="1"/>
  <c r="G34" i="12" s="1"/>
  <c r="F34" i="12" a="1"/>
  <c r="F34" i="12" s="1"/>
  <c r="E34" i="12" a="1"/>
  <c r="E34" i="12" s="1"/>
  <c r="D34" i="12" a="1"/>
  <c r="D34" i="12" s="1"/>
  <c r="Q33" i="12" a="1"/>
  <c r="Q33" i="12" s="1"/>
  <c r="P33" i="12" a="1"/>
  <c r="P33" i="12" s="1"/>
  <c r="O33" i="12" a="1"/>
  <c r="O33" i="12" s="1"/>
  <c r="N33" i="12"/>
  <c r="N33" i="12" a="1"/>
  <c r="M33" i="12" a="1"/>
  <c r="M33" i="12" s="1"/>
  <c r="L33" i="12" a="1"/>
  <c r="L33" i="12" s="1"/>
  <c r="K33" i="12" a="1"/>
  <c r="K33" i="12" s="1"/>
  <c r="J33" i="12" a="1"/>
  <c r="J33" i="12" s="1"/>
  <c r="I33" i="12" a="1"/>
  <c r="I33" i="12" s="1"/>
  <c r="H33" i="12" a="1"/>
  <c r="H33" i="12" s="1"/>
  <c r="G33" i="12" a="1"/>
  <c r="G33" i="12" s="1"/>
  <c r="F33" i="12"/>
  <c r="F33" i="12" a="1"/>
  <c r="E33" i="12" a="1"/>
  <c r="E33" i="12" s="1"/>
  <c r="D33" i="12" a="1"/>
  <c r="D33" i="12" s="1"/>
  <c r="Q32" i="12" a="1"/>
  <c r="Q32" i="12" s="1"/>
  <c r="P32" i="12" a="1"/>
  <c r="P32" i="12" s="1"/>
  <c r="O32" i="12" a="1"/>
  <c r="O32" i="12" s="1"/>
  <c r="N32" i="12" a="1"/>
  <c r="N32" i="12" s="1"/>
  <c r="M32" i="12" a="1"/>
  <c r="M32" i="12" s="1"/>
  <c r="L32" i="12"/>
  <c r="L32" i="12" a="1"/>
  <c r="K32" i="12" a="1"/>
  <c r="K32" i="12" s="1"/>
  <c r="J32" i="12" a="1"/>
  <c r="J32" i="12" s="1"/>
  <c r="I32" i="12" a="1"/>
  <c r="I32" i="12" s="1"/>
  <c r="H32" i="12" a="1"/>
  <c r="H32" i="12" s="1"/>
  <c r="G32" i="12" a="1"/>
  <c r="G32" i="12" s="1"/>
  <c r="F32" i="12" a="1"/>
  <c r="F32" i="12" s="1"/>
  <c r="E32" i="12" a="1"/>
  <c r="E32" i="12" s="1"/>
  <c r="D32" i="12" a="1"/>
  <c r="D32" i="12" s="1"/>
  <c r="Q31" i="12" a="1"/>
  <c r="Q31" i="12" s="1"/>
  <c r="P31" i="12" a="1"/>
  <c r="P31" i="12" s="1"/>
  <c r="O31" i="12" a="1"/>
  <c r="O31" i="12" s="1"/>
  <c r="N31" i="12" a="1"/>
  <c r="N31" i="12" s="1"/>
  <c r="M31" i="12" a="1"/>
  <c r="M31" i="12" s="1"/>
  <c r="L31" i="12" a="1"/>
  <c r="L31" i="12" s="1"/>
  <c r="K31" i="12" a="1"/>
  <c r="K31" i="12" s="1"/>
  <c r="J31" i="12" a="1"/>
  <c r="J31" i="12" s="1"/>
  <c r="I31" i="12" a="1"/>
  <c r="I31" i="12" s="1"/>
  <c r="H31" i="12" a="1"/>
  <c r="H31" i="12" s="1"/>
  <c r="G31" i="12" a="1"/>
  <c r="G31" i="12" s="1"/>
  <c r="F31" i="12" a="1"/>
  <c r="F31" i="12" s="1"/>
  <c r="E31" i="12" a="1"/>
  <c r="E31" i="12" s="1"/>
  <c r="D31" i="12" a="1"/>
  <c r="D31" i="12" s="1"/>
  <c r="Q30" i="12" a="1"/>
  <c r="Q30" i="12" s="1"/>
  <c r="P30" i="12" a="1"/>
  <c r="P30" i="12" s="1"/>
  <c r="O30" i="12" a="1"/>
  <c r="O30" i="12" s="1"/>
  <c r="N30" i="12" a="1"/>
  <c r="N30" i="12" s="1"/>
  <c r="M30" i="12" a="1"/>
  <c r="M30" i="12" s="1"/>
  <c r="L30" i="12" a="1"/>
  <c r="L30" i="12" s="1"/>
  <c r="K30" i="12" a="1"/>
  <c r="K30" i="12" s="1"/>
  <c r="J30" i="12" a="1"/>
  <c r="J30" i="12" s="1"/>
  <c r="I30" i="12" a="1"/>
  <c r="I30" i="12" s="1"/>
  <c r="H30" i="12" a="1"/>
  <c r="H30" i="12" s="1"/>
  <c r="G30" i="12" a="1"/>
  <c r="G30" i="12" s="1"/>
  <c r="F30" i="12" a="1"/>
  <c r="F30" i="12" s="1"/>
  <c r="E30" i="12" a="1"/>
  <c r="E30" i="12" s="1"/>
  <c r="D30" i="12" a="1"/>
  <c r="D30" i="12" s="1"/>
  <c r="Q29" i="12" a="1"/>
  <c r="Q29" i="12" s="1"/>
  <c r="P29" i="12" a="1"/>
  <c r="P29" i="12" s="1"/>
  <c r="O29" i="12" a="1"/>
  <c r="O29" i="12" s="1"/>
  <c r="N29" i="12" a="1"/>
  <c r="N29" i="12" s="1"/>
  <c r="M29" i="12" a="1"/>
  <c r="M29" i="12" s="1"/>
  <c r="L29" i="12" a="1"/>
  <c r="L29" i="12" s="1"/>
  <c r="K29" i="12" a="1"/>
  <c r="K29" i="12" s="1"/>
  <c r="J29" i="12" a="1"/>
  <c r="J29" i="12" s="1"/>
  <c r="I29" i="12" a="1"/>
  <c r="I29" i="12" s="1"/>
  <c r="H29" i="12" a="1"/>
  <c r="H29" i="12" s="1"/>
  <c r="G29" i="12" a="1"/>
  <c r="G29" i="12" s="1"/>
  <c r="F29" i="12" a="1"/>
  <c r="F29" i="12" s="1"/>
  <c r="E29" i="12" a="1"/>
  <c r="E29" i="12" s="1"/>
  <c r="D29" i="12" a="1"/>
  <c r="D29" i="12" s="1"/>
  <c r="Q28" i="12" a="1"/>
  <c r="Q28" i="12" s="1"/>
  <c r="P28" i="12" a="1"/>
  <c r="P28" i="12" s="1"/>
  <c r="O28" i="12" a="1"/>
  <c r="O28" i="12" s="1"/>
  <c r="N28" i="12" a="1"/>
  <c r="N28" i="12" s="1"/>
  <c r="M28" i="12" a="1"/>
  <c r="M28" i="12" s="1"/>
  <c r="L28" i="12" a="1"/>
  <c r="L28" i="12" s="1"/>
  <c r="K28" i="12" a="1"/>
  <c r="K28" i="12" s="1"/>
  <c r="J28" i="12" a="1"/>
  <c r="J28" i="12" s="1"/>
  <c r="I28" i="12" a="1"/>
  <c r="I28" i="12" s="1"/>
  <c r="H28" i="12" a="1"/>
  <c r="H28" i="12" s="1"/>
  <c r="G28" i="12" a="1"/>
  <c r="G28" i="12" s="1"/>
  <c r="F28" i="12" a="1"/>
  <c r="F28" i="12" s="1"/>
  <c r="E28" i="12" a="1"/>
  <c r="E28" i="12" s="1"/>
  <c r="D28" i="12" a="1"/>
  <c r="D28" i="12" s="1"/>
  <c r="Q27" i="12" a="1"/>
  <c r="Q27" i="12" s="1"/>
  <c r="P27" i="12" a="1"/>
  <c r="P27" i="12" s="1"/>
  <c r="O27" i="12" a="1"/>
  <c r="O27" i="12" s="1"/>
  <c r="N27" i="12" a="1"/>
  <c r="N27" i="12" s="1"/>
  <c r="M27" i="12" a="1"/>
  <c r="M27" i="12" s="1"/>
  <c r="L27" i="12" a="1"/>
  <c r="L27" i="12" s="1"/>
  <c r="K27" i="12" a="1"/>
  <c r="K27" i="12" s="1"/>
  <c r="J27" i="12" a="1"/>
  <c r="J27" i="12" s="1"/>
  <c r="I27" i="12" a="1"/>
  <c r="I27" i="12" s="1"/>
  <c r="H27" i="12" a="1"/>
  <c r="H27" i="12" s="1"/>
  <c r="G27" i="12" a="1"/>
  <c r="G27" i="12" s="1"/>
  <c r="F27" i="12" a="1"/>
  <c r="F27" i="12" s="1"/>
  <c r="E27" i="12" a="1"/>
  <c r="E27" i="12" s="1"/>
  <c r="D27" i="12" a="1"/>
  <c r="D27" i="12" s="1"/>
  <c r="Q26" i="12" a="1"/>
  <c r="Q26" i="12" s="1"/>
  <c r="P26" i="12" a="1"/>
  <c r="P26" i="12" s="1"/>
  <c r="O26" i="12" a="1"/>
  <c r="O26" i="12" s="1"/>
  <c r="N26" i="12" a="1"/>
  <c r="N26" i="12" s="1"/>
  <c r="M26" i="12" a="1"/>
  <c r="M26" i="12" s="1"/>
  <c r="L26" i="12" a="1"/>
  <c r="L26" i="12" s="1"/>
  <c r="K26" i="12" a="1"/>
  <c r="K26" i="12" s="1"/>
  <c r="J26" i="12" a="1"/>
  <c r="J26" i="12" s="1"/>
  <c r="I26" i="12" a="1"/>
  <c r="I26" i="12" s="1"/>
  <c r="H26" i="12" a="1"/>
  <c r="H26" i="12" s="1"/>
  <c r="G26" i="12" a="1"/>
  <c r="G26" i="12" s="1"/>
  <c r="F26" i="12" a="1"/>
  <c r="F26" i="12" s="1"/>
  <c r="E26" i="12" a="1"/>
  <c r="E26" i="12" s="1"/>
  <c r="D26" i="12" a="1"/>
  <c r="D26" i="12" s="1"/>
  <c r="Q25" i="12" a="1"/>
  <c r="Q25" i="12" s="1"/>
  <c r="P25" i="12" a="1"/>
  <c r="P25" i="12" s="1"/>
  <c r="O25" i="12" a="1"/>
  <c r="O25" i="12" s="1"/>
  <c r="N25" i="12" a="1"/>
  <c r="N25" i="12" s="1"/>
  <c r="M25" i="12" a="1"/>
  <c r="M25" i="12" s="1"/>
  <c r="L25" i="12" a="1"/>
  <c r="L25" i="12" s="1"/>
  <c r="K25" i="12" a="1"/>
  <c r="K25" i="12" s="1"/>
  <c r="J25" i="12" a="1"/>
  <c r="J25" i="12" s="1"/>
  <c r="I25" i="12" a="1"/>
  <c r="I25" i="12" s="1"/>
  <c r="H25" i="12" a="1"/>
  <c r="H25" i="12" s="1"/>
  <c r="G25" i="12" a="1"/>
  <c r="G25" i="12" s="1"/>
  <c r="F25" i="12" a="1"/>
  <c r="F25" i="12" s="1"/>
  <c r="E25" i="12" a="1"/>
  <c r="E25" i="12" s="1"/>
  <c r="D25" i="12" a="1"/>
  <c r="D25" i="12" s="1"/>
  <c r="Q24" i="12" a="1"/>
  <c r="Q24" i="12" s="1"/>
  <c r="P24" i="12" a="1"/>
  <c r="P24" i="12" s="1"/>
  <c r="O24" i="12" a="1"/>
  <c r="O24" i="12" s="1"/>
  <c r="N24" i="12" a="1"/>
  <c r="N24" i="12" s="1"/>
  <c r="M24" i="12" a="1"/>
  <c r="M24" i="12" s="1"/>
  <c r="L24" i="12" a="1"/>
  <c r="L24" i="12" s="1"/>
  <c r="K24" i="12" a="1"/>
  <c r="K24" i="12" s="1"/>
  <c r="J24" i="12" a="1"/>
  <c r="J24" i="12" s="1"/>
  <c r="I24" i="12" a="1"/>
  <c r="I24" i="12" s="1"/>
  <c r="H24" i="12" a="1"/>
  <c r="H24" i="12" s="1"/>
  <c r="G24" i="12" a="1"/>
  <c r="G24" i="12" s="1"/>
  <c r="F24" i="12" a="1"/>
  <c r="F24" i="12" s="1"/>
  <c r="E24" i="12" a="1"/>
  <c r="E24" i="12" s="1"/>
  <c r="D24" i="12" a="1"/>
  <c r="D24" i="12" s="1"/>
  <c r="Q23" i="12" a="1"/>
  <c r="Q23" i="12" s="1"/>
  <c r="P23" i="12" a="1"/>
  <c r="P23" i="12" s="1"/>
  <c r="O23" i="12" a="1"/>
  <c r="O23" i="12" s="1"/>
  <c r="N23" i="12" a="1"/>
  <c r="N23" i="12" s="1"/>
  <c r="M23" i="12" a="1"/>
  <c r="M23" i="12" s="1"/>
  <c r="L23" i="12" a="1"/>
  <c r="L23" i="12" s="1"/>
  <c r="K23" i="12" a="1"/>
  <c r="K23" i="12" s="1"/>
  <c r="J23" i="12" a="1"/>
  <c r="J23" i="12" s="1"/>
  <c r="I23" i="12" a="1"/>
  <c r="I23" i="12" s="1"/>
  <c r="H23" i="12" a="1"/>
  <c r="H23" i="12" s="1"/>
  <c r="G23" i="12" a="1"/>
  <c r="G23" i="12" s="1"/>
  <c r="F23" i="12" a="1"/>
  <c r="F23" i="12" s="1"/>
  <c r="E23" i="12" a="1"/>
  <c r="E23" i="12" s="1"/>
  <c r="D23" i="12" a="1"/>
  <c r="D23" i="12" s="1"/>
  <c r="Q22" i="12" a="1"/>
  <c r="Q22" i="12" s="1"/>
  <c r="P22" i="12" a="1"/>
  <c r="P22" i="12" s="1"/>
  <c r="O22" i="12" a="1"/>
  <c r="O22" i="12" s="1"/>
  <c r="N22" i="12" a="1"/>
  <c r="N22" i="12" s="1"/>
  <c r="M22" i="12" a="1"/>
  <c r="M22" i="12" s="1"/>
  <c r="L22" i="12" a="1"/>
  <c r="L22" i="12" s="1"/>
  <c r="K22" i="12" a="1"/>
  <c r="K22" i="12" s="1"/>
  <c r="J22" i="12" a="1"/>
  <c r="J22" i="12" s="1"/>
  <c r="I22" i="12" a="1"/>
  <c r="I22" i="12" s="1"/>
  <c r="H22" i="12" a="1"/>
  <c r="H22" i="12" s="1"/>
  <c r="G22" i="12" a="1"/>
  <c r="G22" i="12" s="1"/>
  <c r="F22" i="12" a="1"/>
  <c r="F22" i="12" s="1"/>
  <c r="E22" i="12" a="1"/>
  <c r="E22" i="12" s="1"/>
  <c r="D22" i="12" a="1"/>
  <c r="D22" i="12" s="1"/>
  <c r="Q21" i="12" a="1"/>
  <c r="Q21" i="12" s="1"/>
  <c r="P21" i="12" a="1"/>
  <c r="P21" i="12" s="1"/>
  <c r="O21" i="12" a="1"/>
  <c r="O21" i="12" s="1"/>
  <c r="N21" i="12" a="1"/>
  <c r="N21" i="12" s="1"/>
  <c r="M21" i="12" a="1"/>
  <c r="M21" i="12" s="1"/>
  <c r="L21" i="12" a="1"/>
  <c r="L21" i="12" s="1"/>
  <c r="K21" i="12" a="1"/>
  <c r="K21" i="12" s="1"/>
  <c r="J21" i="12" a="1"/>
  <c r="J21" i="12" s="1"/>
  <c r="I21" i="12" a="1"/>
  <c r="I21" i="12" s="1"/>
  <c r="H21" i="12" a="1"/>
  <c r="H21" i="12" s="1"/>
  <c r="G21" i="12" a="1"/>
  <c r="G21" i="12" s="1"/>
  <c r="F21" i="12" a="1"/>
  <c r="F21" i="12" s="1"/>
  <c r="E21" i="12" a="1"/>
  <c r="E21" i="12" s="1"/>
  <c r="D21" i="12" a="1"/>
  <c r="D21" i="12" s="1"/>
  <c r="Q20" i="12" a="1"/>
  <c r="Q20" i="12" s="1"/>
  <c r="P20" i="12" a="1"/>
  <c r="P20" i="12" s="1"/>
  <c r="O20" i="12" a="1"/>
  <c r="O20" i="12" s="1"/>
  <c r="N20" i="12" a="1"/>
  <c r="N20" i="12" s="1"/>
  <c r="M20" i="12" a="1"/>
  <c r="M20" i="12" s="1"/>
  <c r="L20" i="12" a="1"/>
  <c r="L20" i="12" s="1"/>
  <c r="K20" i="12" a="1"/>
  <c r="K20" i="12" s="1"/>
  <c r="J20" i="12" a="1"/>
  <c r="J20" i="12" s="1"/>
  <c r="I20" i="12" a="1"/>
  <c r="I20" i="12" s="1"/>
  <c r="H20" i="12" a="1"/>
  <c r="H20" i="12" s="1"/>
  <c r="G20" i="12" a="1"/>
  <c r="G20" i="12" s="1"/>
  <c r="F20" i="12" a="1"/>
  <c r="F20" i="12" s="1"/>
  <c r="E20" i="12" a="1"/>
  <c r="E20" i="12" s="1"/>
  <c r="D20" i="12" a="1"/>
  <c r="D20" i="12" s="1"/>
  <c r="Q19" i="12" a="1"/>
  <c r="Q19" i="12" s="1"/>
  <c r="P19" i="12" a="1"/>
  <c r="P19" i="12" s="1"/>
  <c r="O19" i="12" a="1"/>
  <c r="O19" i="12" s="1"/>
  <c r="N19" i="12" a="1"/>
  <c r="N19" i="12" s="1"/>
  <c r="M19" i="12" a="1"/>
  <c r="M19" i="12" s="1"/>
  <c r="L19" i="12" a="1"/>
  <c r="L19" i="12" s="1"/>
  <c r="K19" i="12" a="1"/>
  <c r="K19" i="12" s="1"/>
  <c r="J19" i="12" a="1"/>
  <c r="J19" i="12" s="1"/>
  <c r="I19" i="12" a="1"/>
  <c r="I19" i="12" s="1"/>
  <c r="H19" i="12" a="1"/>
  <c r="H19" i="12" s="1"/>
  <c r="G19" i="12" a="1"/>
  <c r="G19" i="12" s="1"/>
  <c r="F19" i="12" a="1"/>
  <c r="F19" i="12" s="1"/>
  <c r="E19" i="12" a="1"/>
  <c r="E19" i="12" s="1"/>
  <c r="D19" i="12" a="1"/>
  <c r="D19" i="12" s="1"/>
  <c r="Q18" i="12" a="1"/>
  <c r="Q18" i="12" s="1"/>
  <c r="P18" i="12" a="1"/>
  <c r="P18" i="12" s="1"/>
  <c r="O18" i="12" a="1"/>
  <c r="O18" i="12" s="1"/>
  <c r="N18" i="12" a="1"/>
  <c r="N18" i="12" s="1"/>
  <c r="M18" i="12" a="1"/>
  <c r="M18" i="12" s="1"/>
  <c r="L18" i="12" a="1"/>
  <c r="L18" i="12" s="1"/>
  <c r="K18" i="12" a="1"/>
  <c r="K18" i="12" s="1"/>
  <c r="J18" i="12" a="1"/>
  <c r="J18" i="12" s="1"/>
  <c r="I18" i="12" a="1"/>
  <c r="I18" i="12" s="1"/>
  <c r="H18" i="12" a="1"/>
  <c r="H18" i="12" s="1"/>
  <c r="G18" i="12" a="1"/>
  <c r="G18" i="12" s="1"/>
  <c r="F18" i="12" a="1"/>
  <c r="F18" i="12" s="1"/>
  <c r="E18" i="12" a="1"/>
  <c r="E18" i="12" s="1"/>
  <c r="D18" i="12" a="1"/>
  <c r="D18" i="12" s="1"/>
  <c r="Q17" i="12" a="1"/>
  <c r="Q17" i="12" s="1"/>
  <c r="P17" i="12" a="1"/>
  <c r="P17" i="12" s="1"/>
  <c r="O17" i="12" a="1"/>
  <c r="O17" i="12" s="1"/>
  <c r="N17" i="12" a="1"/>
  <c r="N17" i="12" s="1"/>
  <c r="M17" i="12" a="1"/>
  <c r="M17" i="12" s="1"/>
  <c r="L17" i="12" a="1"/>
  <c r="L17" i="12" s="1"/>
  <c r="K17" i="12" a="1"/>
  <c r="K17" i="12" s="1"/>
  <c r="J17" i="12" a="1"/>
  <c r="J17" i="12" s="1"/>
  <c r="I17" i="12" a="1"/>
  <c r="I17" i="12" s="1"/>
  <c r="H17" i="12" a="1"/>
  <c r="H17" i="12" s="1"/>
  <c r="G17" i="12" a="1"/>
  <c r="G17" i="12" s="1"/>
  <c r="F17" i="12" a="1"/>
  <c r="F17" i="12" s="1"/>
  <c r="E17" i="12" a="1"/>
  <c r="E17" i="12" s="1"/>
  <c r="D17" i="12" a="1"/>
  <c r="D17" i="12" s="1"/>
  <c r="Q16" i="12" a="1"/>
  <c r="Q16" i="12" s="1"/>
  <c r="P16" i="12" a="1"/>
  <c r="P16" i="12" s="1"/>
  <c r="O16" i="12" a="1"/>
  <c r="O16" i="12" s="1"/>
  <c r="N16" i="12" a="1"/>
  <c r="N16" i="12" s="1"/>
  <c r="M16" i="12" a="1"/>
  <c r="M16" i="12" s="1"/>
  <c r="L16" i="12" a="1"/>
  <c r="L16" i="12" s="1"/>
  <c r="K16" i="12" a="1"/>
  <c r="K16" i="12" s="1"/>
  <c r="J16" i="12" a="1"/>
  <c r="J16" i="12" s="1"/>
  <c r="I16" i="12" a="1"/>
  <c r="I16" i="12" s="1"/>
  <c r="H16" i="12" a="1"/>
  <c r="H16" i="12" s="1"/>
  <c r="G16" i="12" a="1"/>
  <c r="G16" i="12" s="1"/>
  <c r="F16" i="12" a="1"/>
  <c r="F16" i="12" s="1"/>
  <c r="E16" i="12" a="1"/>
  <c r="E16" i="12" s="1"/>
  <c r="D16" i="12" a="1"/>
  <c r="D16" i="12" s="1"/>
  <c r="Q15" i="12" a="1"/>
  <c r="Q15" i="12" s="1"/>
  <c r="P15" i="12" a="1"/>
  <c r="P15" i="12" s="1"/>
  <c r="O15" i="12" a="1"/>
  <c r="O15" i="12" s="1"/>
  <c r="N15" i="12" a="1"/>
  <c r="N15" i="12" s="1"/>
  <c r="M15" i="12" a="1"/>
  <c r="M15" i="12" s="1"/>
  <c r="L15" i="12" a="1"/>
  <c r="L15" i="12" s="1"/>
  <c r="K15" i="12" a="1"/>
  <c r="K15" i="12" s="1"/>
  <c r="J15" i="12" a="1"/>
  <c r="J15" i="12" s="1"/>
  <c r="I15" i="12" a="1"/>
  <c r="I15" i="12" s="1"/>
  <c r="H15" i="12" a="1"/>
  <c r="H15" i="12" s="1"/>
  <c r="G15" i="12" a="1"/>
  <c r="G15" i="12" s="1"/>
  <c r="F15" i="12" a="1"/>
  <c r="F15" i="12" s="1"/>
  <c r="E15" i="12" a="1"/>
  <c r="E15" i="12" s="1"/>
  <c r="D15" i="12" a="1"/>
  <c r="D15" i="12" s="1"/>
  <c r="Q14" i="12" a="1"/>
  <c r="Q14" i="12" s="1"/>
  <c r="P14" i="12" a="1"/>
  <c r="P14" i="12" s="1"/>
  <c r="O14" i="12" a="1"/>
  <c r="O14" i="12" s="1"/>
  <c r="N14" i="12" a="1"/>
  <c r="N14" i="12" s="1"/>
  <c r="M14" i="12" a="1"/>
  <c r="M14" i="12" s="1"/>
  <c r="L14" i="12" a="1"/>
  <c r="L14" i="12" s="1"/>
  <c r="K14" i="12" a="1"/>
  <c r="K14" i="12" s="1"/>
  <c r="J14" i="12" a="1"/>
  <c r="J14" i="12" s="1"/>
  <c r="I14" i="12" a="1"/>
  <c r="I14" i="12" s="1"/>
  <c r="H14" i="12" a="1"/>
  <c r="H14" i="12" s="1"/>
  <c r="G14" i="12" a="1"/>
  <c r="G14" i="12" s="1"/>
  <c r="F14" i="12" a="1"/>
  <c r="F14" i="12" s="1"/>
  <c r="E14" i="12" a="1"/>
  <c r="E14" i="12" s="1"/>
  <c r="D14" i="12" a="1"/>
  <c r="D14" i="12" s="1"/>
  <c r="Q13" i="12" a="1"/>
  <c r="Q13" i="12" s="1"/>
  <c r="P13" i="12" a="1"/>
  <c r="P13" i="12" s="1"/>
  <c r="O13" i="12" a="1"/>
  <c r="O13" i="12" s="1"/>
  <c r="N13" i="12" a="1"/>
  <c r="N13" i="12" s="1"/>
  <c r="M13" i="12" a="1"/>
  <c r="M13" i="12" s="1"/>
  <c r="L13" i="12" a="1"/>
  <c r="L13" i="12" s="1"/>
  <c r="K13" i="12" a="1"/>
  <c r="K13" i="12" s="1"/>
  <c r="J13" i="12" a="1"/>
  <c r="J13" i="12" s="1"/>
  <c r="I13" i="12" a="1"/>
  <c r="I13" i="12" s="1"/>
  <c r="H13" i="12" a="1"/>
  <c r="H13" i="12" s="1"/>
  <c r="G13" i="12" a="1"/>
  <c r="G13" i="12" s="1"/>
  <c r="F13" i="12" a="1"/>
  <c r="F13" i="12" s="1"/>
  <c r="E13" i="12" a="1"/>
  <c r="E13" i="12" s="1"/>
  <c r="D13" i="12" a="1"/>
  <c r="D13" i="12" s="1"/>
  <c r="Q12" i="12" a="1"/>
  <c r="Q12" i="12" s="1"/>
  <c r="P12" i="12" a="1"/>
  <c r="P12" i="12" s="1"/>
  <c r="O12" i="12" a="1"/>
  <c r="O12" i="12" s="1"/>
  <c r="N12" i="12" a="1"/>
  <c r="N12" i="12" s="1"/>
  <c r="M12" i="12" a="1"/>
  <c r="M12" i="12" s="1"/>
  <c r="L12" i="12" a="1"/>
  <c r="L12" i="12" s="1"/>
  <c r="K12" i="12" a="1"/>
  <c r="K12" i="12" s="1"/>
  <c r="J12" i="12" a="1"/>
  <c r="J12" i="12" s="1"/>
  <c r="I12" i="12" a="1"/>
  <c r="I12" i="12" s="1"/>
  <c r="H12" i="12" a="1"/>
  <c r="H12" i="12" s="1"/>
  <c r="G12" i="12" a="1"/>
  <c r="G12" i="12" s="1"/>
  <c r="F12" i="12" a="1"/>
  <c r="F12" i="12" s="1"/>
  <c r="E12" i="12" a="1"/>
  <c r="E12" i="12" s="1"/>
  <c r="D12" i="12" a="1"/>
  <c r="D12" i="12" s="1"/>
  <c r="Q11" i="12" a="1"/>
  <c r="Q11" i="12" s="1"/>
  <c r="P11" i="12" a="1"/>
  <c r="P11" i="12" s="1"/>
  <c r="O11" i="12" a="1"/>
  <c r="O11" i="12" s="1"/>
  <c r="N11" i="12" a="1"/>
  <c r="N11" i="12" s="1"/>
  <c r="M11" i="12" a="1"/>
  <c r="M11" i="12" s="1"/>
  <c r="L11" i="12" a="1"/>
  <c r="L11" i="12" s="1"/>
  <c r="K11" i="12" a="1"/>
  <c r="K11" i="12" s="1"/>
  <c r="J11" i="12" a="1"/>
  <c r="J11" i="12" s="1"/>
  <c r="I11" i="12" a="1"/>
  <c r="I11" i="12" s="1"/>
  <c r="H11" i="12" a="1"/>
  <c r="H11" i="12" s="1"/>
  <c r="G11" i="12" a="1"/>
  <c r="G11" i="12" s="1"/>
  <c r="F11" i="12" a="1"/>
  <c r="F11" i="12" s="1"/>
  <c r="E11" i="12" a="1"/>
  <c r="E11" i="12" s="1"/>
  <c r="D11" i="12" a="1"/>
  <c r="D11" i="12" s="1"/>
  <c r="Q10" i="12" a="1"/>
  <c r="Q10" i="12" s="1"/>
  <c r="P10" i="12" a="1"/>
  <c r="P10" i="12" s="1"/>
  <c r="O10" i="12" a="1"/>
  <c r="O10" i="12" s="1"/>
  <c r="N10" i="12" a="1"/>
  <c r="N10" i="12" s="1"/>
  <c r="M10" i="12" a="1"/>
  <c r="M10" i="12" s="1"/>
  <c r="L10" i="12" a="1"/>
  <c r="L10" i="12" s="1"/>
  <c r="K10" i="12" a="1"/>
  <c r="K10" i="12" s="1"/>
  <c r="J10" i="12" a="1"/>
  <c r="J10" i="12" s="1"/>
  <c r="I10" i="12" a="1"/>
  <c r="I10" i="12" s="1"/>
  <c r="H10" i="12" a="1"/>
  <c r="H10" i="12" s="1"/>
  <c r="G10" i="12" a="1"/>
  <c r="G10" i="12" s="1"/>
  <c r="F10" i="12" a="1"/>
  <c r="F10" i="12" s="1"/>
  <c r="E10" i="12" a="1"/>
  <c r="E10" i="12" s="1"/>
  <c r="D10" i="12" a="1"/>
  <c r="D10" i="12" s="1"/>
  <c r="Q9" i="12" a="1"/>
  <c r="Q9" i="12" s="1"/>
  <c r="P9" i="12" a="1"/>
  <c r="P9" i="12" s="1"/>
  <c r="O9" i="12" a="1"/>
  <c r="O9" i="12" s="1"/>
  <c r="N9" i="12" a="1"/>
  <c r="N9" i="12" s="1"/>
  <c r="M9" i="12" a="1"/>
  <c r="M9" i="12" s="1"/>
  <c r="L9" i="12" a="1"/>
  <c r="L9" i="12" s="1"/>
  <c r="K9" i="12" a="1"/>
  <c r="K9" i="12" s="1"/>
  <c r="J9" i="12" a="1"/>
  <c r="J9" i="12" s="1"/>
  <c r="I9" i="12" a="1"/>
  <c r="I9" i="12" s="1"/>
  <c r="H9" i="12" a="1"/>
  <c r="H9" i="12" s="1"/>
  <c r="G9" i="12" a="1"/>
  <c r="G9" i="12" s="1"/>
  <c r="F9" i="12" a="1"/>
  <c r="F9" i="12" s="1"/>
  <c r="E9" i="12" a="1"/>
  <c r="E9" i="12" s="1"/>
  <c r="D9" i="12" a="1"/>
  <c r="D9" i="12" s="1"/>
  <c r="Q8" i="12" a="1"/>
  <c r="Q8" i="12" s="1"/>
  <c r="P8" i="12" a="1"/>
  <c r="P8" i="12" s="1"/>
  <c r="O8" i="12" a="1"/>
  <c r="O8" i="12" s="1"/>
  <c r="N8" i="12" a="1"/>
  <c r="N8" i="12" s="1"/>
  <c r="M8" i="12" a="1"/>
  <c r="M8" i="12" s="1"/>
  <c r="L8" i="12" a="1"/>
  <c r="L8" i="12" s="1"/>
  <c r="K8" i="12" a="1"/>
  <c r="K8" i="12" s="1"/>
  <c r="J8" i="12" a="1"/>
  <c r="J8" i="12" s="1"/>
  <c r="I8" i="12" a="1"/>
  <c r="I8" i="12" s="1"/>
  <c r="H8" i="12" a="1"/>
  <c r="H8" i="12" s="1"/>
  <c r="G8" i="12" a="1"/>
  <c r="G8" i="12" s="1"/>
  <c r="F8" i="12" a="1"/>
  <c r="F8" i="12" s="1"/>
  <c r="E8" i="12" a="1"/>
  <c r="E8" i="12" s="1"/>
  <c r="D8" i="12" a="1"/>
  <c r="D8" i="12" s="1"/>
  <c r="Q7" i="12" a="1"/>
  <c r="Q7" i="12" s="1"/>
  <c r="P7" i="12" a="1"/>
  <c r="P7" i="12" s="1"/>
  <c r="O7" i="12" a="1"/>
  <c r="O7" i="12" s="1"/>
  <c r="N7" i="12" a="1"/>
  <c r="N7" i="12" s="1"/>
  <c r="M7" i="12" a="1"/>
  <c r="M7" i="12" s="1"/>
  <c r="L7" i="12" a="1"/>
  <c r="L7" i="12" s="1"/>
  <c r="K7" i="12" a="1"/>
  <c r="K7" i="12" s="1"/>
  <c r="J7" i="12" a="1"/>
  <c r="J7" i="12" s="1"/>
  <c r="I7" i="12" a="1"/>
  <c r="I7" i="12" s="1"/>
  <c r="H7" i="12" a="1"/>
  <c r="H7" i="12" s="1"/>
  <c r="G7" i="12" a="1"/>
  <c r="G7" i="12" s="1"/>
  <c r="F7" i="12" a="1"/>
  <c r="F7" i="12" s="1"/>
  <c r="E7" i="12" a="1"/>
  <c r="E7" i="12" s="1"/>
  <c r="D7" i="12" a="1"/>
  <c r="D7" i="12" s="1"/>
  <c r="Q6" i="12" a="1"/>
  <c r="Q6" i="12" s="1"/>
  <c r="P6" i="12" a="1"/>
  <c r="P6" i="12" s="1"/>
  <c r="O6" i="12" a="1"/>
  <c r="O6" i="12" s="1"/>
  <c r="N6" i="12" a="1"/>
  <c r="N6" i="12" s="1"/>
  <c r="M6" i="12" a="1"/>
  <c r="M6" i="12" s="1"/>
  <c r="L6" i="12" a="1"/>
  <c r="L6" i="12" s="1"/>
  <c r="K6" i="12" a="1"/>
  <c r="K6" i="12" s="1"/>
  <c r="J6" i="12" a="1"/>
  <c r="J6" i="12" s="1"/>
  <c r="I6" i="12" a="1"/>
  <c r="I6" i="12" s="1"/>
  <c r="H6" i="12" a="1"/>
  <c r="H6" i="12" s="1"/>
  <c r="G6" i="12" a="1"/>
  <c r="G6" i="12" s="1"/>
  <c r="F6" i="12" a="1"/>
  <c r="F6" i="12" s="1"/>
  <c r="E6" i="12" a="1"/>
  <c r="E6" i="12" s="1"/>
  <c r="D6" i="12" a="1"/>
  <c r="D6" i="12" s="1"/>
  <c r="Q5" i="12" a="1"/>
  <c r="Q5" i="12" s="1"/>
  <c r="P5" i="12" a="1"/>
  <c r="P5" i="12" s="1"/>
  <c r="O5" i="12" a="1"/>
  <c r="O5" i="12" s="1"/>
  <c r="N5" i="12" a="1"/>
  <c r="N5" i="12" s="1"/>
  <c r="M5" i="12" a="1"/>
  <c r="M5" i="12" s="1"/>
  <c r="L5" i="12" a="1"/>
  <c r="L5" i="12" s="1"/>
  <c r="K5" i="12" a="1"/>
  <c r="K5" i="12" s="1"/>
  <c r="J5" i="12" a="1"/>
  <c r="J5" i="12" s="1"/>
  <c r="I5" i="12" a="1"/>
  <c r="I5" i="12" s="1"/>
  <c r="H5" i="12" a="1"/>
  <c r="H5" i="12" s="1"/>
  <c r="G5" i="12" a="1"/>
  <c r="G5" i="12" s="1"/>
  <c r="F5" i="12" a="1"/>
  <c r="F5" i="12" s="1"/>
  <c r="E5" i="12" a="1"/>
  <c r="E5" i="12" s="1"/>
  <c r="D5" i="12" a="1"/>
  <c r="D5" i="12" s="1"/>
  <c r="Q4" i="12" a="1"/>
  <c r="Q4" i="12" s="1"/>
  <c r="P4" i="12" a="1"/>
  <c r="P4" i="12" s="1"/>
  <c r="O4" i="12" a="1"/>
  <c r="O4" i="12" s="1"/>
  <c r="N4" i="12" a="1"/>
  <c r="N4" i="12" s="1"/>
  <c r="M4" i="12" a="1"/>
  <c r="M4" i="12" s="1"/>
  <c r="L4" i="12" a="1"/>
  <c r="L4" i="12" s="1"/>
  <c r="K4" i="12" a="1"/>
  <c r="K4" i="12" s="1"/>
  <c r="J4" i="12" a="1"/>
  <c r="J4" i="12" s="1"/>
  <c r="I4" i="12" a="1"/>
  <c r="I4" i="12" s="1"/>
  <c r="H4" i="12" a="1"/>
  <c r="H4" i="12" s="1"/>
  <c r="G4" i="12" a="1"/>
  <c r="G4" i="12" s="1"/>
  <c r="F4" i="12" a="1"/>
  <c r="F4" i="12" s="1"/>
  <c r="E4" i="12" a="1"/>
  <c r="E4" i="12" s="1"/>
  <c r="D4" i="12" a="1"/>
  <c r="D4" i="12" s="1"/>
  <c r="Q3" i="12" a="1"/>
  <c r="Q3" i="12" s="1"/>
  <c r="P3" i="12" a="1"/>
  <c r="P3" i="12" s="1"/>
  <c r="O3" i="12" a="1"/>
  <c r="O3" i="12" s="1"/>
  <c r="N3" i="12" a="1"/>
  <c r="N3" i="12" s="1"/>
  <c r="M3" i="12" a="1"/>
  <c r="M3" i="12" s="1"/>
  <c r="L3" i="12" a="1"/>
  <c r="L3" i="12" s="1"/>
  <c r="K3" i="12" a="1"/>
  <c r="K3" i="12" s="1"/>
  <c r="J3" i="12" a="1"/>
  <c r="J3" i="12" s="1"/>
  <c r="I3" i="12" a="1"/>
  <c r="I3" i="12" s="1"/>
  <c r="H3" i="12" a="1"/>
  <c r="H3" i="12" s="1"/>
  <c r="G3" i="12" a="1"/>
  <c r="G3" i="12" s="1"/>
  <c r="F3" i="12" a="1"/>
  <c r="F3" i="12" s="1"/>
  <c r="E3" i="12" a="1"/>
  <c r="E3" i="12" s="1"/>
  <c r="D3" i="12" a="1"/>
  <c r="D3" i="12" s="1"/>
  <c r="Q2" i="12" a="1"/>
  <c r="Q2" i="12" s="1"/>
  <c r="P2" i="12" a="1"/>
  <c r="P2" i="12" s="1"/>
  <c r="O2" i="12" a="1"/>
  <c r="O2" i="12" s="1"/>
  <c r="N2" i="12" a="1"/>
  <c r="N2" i="12" s="1"/>
  <c r="M2" i="12" a="1"/>
  <c r="M2" i="12" s="1"/>
  <c r="L2" i="12" a="1"/>
  <c r="L2" i="12" s="1"/>
  <c r="K2" i="12" a="1"/>
  <c r="K2" i="12" s="1"/>
  <c r="J2" i="12" a="1"/>
  <c r="J2" i="12" s="1"/>
  <c r="I2" i="12" a="1"/>
  <c r="I2" i="12" s="1"/>
  <c r="H2" i="12" a="1"/>
  <c r="H2" i="12" s="1"/>
  <c r="G2" i="12" a="1"/>
  <c r="G2" i="12" s="1"/>
  <c r="F2" i="12" a="1"/>
  <c r="F2" i="12" s="1"/>
  <c r="E2" i="12" a="1"/>
  <c r="E2" i="12" s="1"/>
  <c r="Q83" i="7" a="1"/>
  <c r="Q83" i="7" s="1"/>
  <c r="P83" i="7" a="1"/>
  <c r="P83" i="7" s="1"/>
  <c r="O83" i="7" a="1"/>
  <c r="O83" i="7" s="1"/>
  <c r="N83" i="7" a="1"/>
  <c r="N83" i="7" s="1"/>
  <c r="M83" i="7" a="1"/>
  <c r="M83" i="7" s="1"/>
  <c r="L83" i="7"/>
  <c r="L83" i="7" a="1"/>
  <c r="K83" i="7" a="1"/>
  <c r="K83" i="7" s="1"/>
  <c r="J83" i="7"/>
  <c r="J83" i="7" a="1"/>
  <c r="I83" i="7" a="1"/>
  <c r="I83" i="7" s="1"/>
  <c r="H83" i="7" a="1"/>
  <c r="H83" i="7" s="1"/>
  <c r="G83" i="7" a="1"/>
  <c r="G83" i="7" s="1"/>
  <c r="F83" i="7" a="1"/>
  <c r="F83" i="7" s="1"/>
  <c r="E83" i="7" a="1"/>
  <c r="E83" i="7" s="1"/>
  <c r="D83" i="7"/>
  <c r="D83" i="7" a="1"/>
  <c r="Q82" i="7" a="1"/>
  <c r="Q82" i="7" s="1"/>
  <c r="P82" i="7" a="1"/>
  <c r="P82" i="7" s="1"/>
  <c r="O82" i="7" a="1"/>
  <c r="O82" i="7" s="1"/>
  <c r="N82" i="7" a="1"/>
  <c r="N82" i="7" s="1"/>
  <c r="M82" i="7" a="1"/>
  <c r="M82" i="7" s="1"/>
  <c r="L82" i="7" a="1"/>
  <c r="L82" i="7" s="1"/>
  <c r="K82" i="7" a="1"/>
  <c r="K82" i="7" s="1"/>
  <c r="J82" i="7" a="1"/>
  <c r="J82" i="7" s="1"/>
  <c r="I82" i="7" a="1"/>
  <c r="I82" i="7" s="1"/>
  <c r="H82" i="7" a="1"/>
  <c r="H82" i="7" s="1"/>
  <c r="G82" i="7" a="1"/>
  <c r="G82" i="7" s="1"/>
  <c r="F82" i="7" a="1"/>
  <c r="F82" i="7" s="1"/>
  <c r="E82" i="7" a="1"/>
  <c r="E82" i="7" s="1"/>
  <c r="D82" i="7" a="1"/>
  <c r="D82" i="7" s="1"/>
  <c r="Q81" i="7" a="1"/>
  <c r="Q81" i="7" s="1"/>
  <c r="P81" i="7" a="1"/>
  <c r="P81" i="7" s="1"/>
  <c r="O81" i="7" a="1"/>
  <c r="O81" i="7" s="1"/>
  <c r="N81" i="7" a="1"/>
  <c r="N81" i="7" s="1"/>
  <c r="M81" i="7" a="1"/>
  <c r="M81" i="7" s="1"/>
  <c r="L81" i="7" a="1"/>
  <c r="L81" i="7" s="1"/>
  <c r="K81" i="7" a="1"/>
  <c r="K81" i="7" s="1"/>
  <c r="J81" i="7" a="1"/>
  <c r="J81" i="7" s="1"/>
  <c r="I81" i="7" a="1"/>
  <c r="I81" i="7" s="1"/>
  <c r="H81" i="7" a="1"/>
  <c r="H81" i="7" s="1"/>
  <c r="G81" i="7" a="1"/>
  <c r="G81" i="7" s="1"/>
  <c r="F81" i="7"/>
  <c r="F81" i="7" a="1"/>
  <c r="E81" i="7" a="1"/>
  <c r="E81" i="7" s="1"/>
  <c r="D81" i="7" a="1"/>
  <c r="D81" i="7" s="1"/>
  <c r="Q80" i="7" a="1"/>
  <c r="Q80" i="7" s="1"/>
  <c r="P80" i="7" a="1"/>
  <c r="P80" i="7" s="1"/>
  <c r="O80" i="7" a="1"/>
  <c r="O80" i="7" s="1"/>
  <c r="N80" i="7" a="1"/>
  <c r="N80" i="7" s="1"/>
  <c r="M80" i="7" a="1"/>
  <c r="M80" i="7" s="1"/>
  <c r="L80" i="7" a="1"/>
  <c r="L80" i="7" s="1"/>
  <c r="K80" i="7" a="1"/>
  <c r="K80" i="7" s="1"/>
  <c r="J80" i="7" a="1"/>
  <c r="J80" i="7" s="1"/>
  <c r="I80" i="7" a="1"/>
  <c r="I80" i="7" s="1"/>
  <c r="H80" i="7" a="1"/>
  <c r="H80" i="7" s="1"/>
  <c r="G80" i="7" a="1"/>
  <c r="G80" i="7" s="1"/>
  <c r="F80" i="7" a="1"/>
  <c r="F80" i="7" s="1"/>
  <c r="E80" i="7" a="1"/>
  <c r="E80" i="7" s="1"/>
  <c r="D80" i="7"/>
  <c r="D80" i="7" a="1"/>
  <c r="Q79" i="7" a="1"/>
  <c r="Q79" i="7" s="1"/>
  <c r="P79" i="7" a="1"/>
  <c r="P79" i="7" s="1"/>
  <c r="O79" i="7" a="1"/>
  <c r="O79" i="7" s="1"/>
  <c r="N79" i="7" a="1"/>
  <c r="N79" i="7" s="1"/>
  <c r="M79" i="7" a="1"/>
  <c r="M79" i="7" s="1"/>
  <c r="L79" i="7" a="1"/>
  <c r="L79" i="7" s="1"/>
  <c r="K79" i="7" a="1"/>
  <c r="K79" i="7" s="1"/>
  <c r="J79" i="7"/>
  <c r="J79" i="7" a="1"/>
  <c r="I79" i="7" a="1"/>
  <c r="I79" i="7" s="1"/>
  <c r="H79" i="7" a="1"/>
  <c r="H79" i="7" s="1"/>
  <c r="G79" i="7" a="1"/>
  <c r="G79" i="7" s="1"/>
  <c r="F79" i="7" a="1"/>
  <c r="F79" i="7" s="1"/>
  <c r="E79" i="7" a="1"/>
  <c r="E79" i="7" s="1"/>
  <c r="D79" i="7" a="1"/>
  <c r="D79" i="7" s="1"/>
  <c r="Q78" i="7" a="1"/>
  <c r="Q78" i="7" s="1"/>
  <c r="P78" i="7" a="1"/>
  <c r="P78" i="7" s="1"/>
  <c r="O78" i="7" a="1"/>
  <c r="O78" i="7" s="1"/>
  <c r="N78" i="7" a="1"/>
  <c r="N78" i="7" s="1"/>
  <c r="M78" i="7" a="1"/>
  <c r="M78" i="7" s="1"/>
  <c r="L78" i="7" a="1"/>
  <c r="L78" i="7" s="1"/>
  <c r="K78" i="7" a="1"/>
  <c r="K78" i="7" s="1"/>
  <c r="J78" i="7" a="1"/>
  <c r="J78" i="7" s="1"/>
  <c r="I78" i="7" a="1"/>
  <c r="I78" i="7" s="1"/>
  <c r="H78" i="7" a="1"/>
  <c r="H78" i="7" s="1"/>
  <c r="G78" i="7" a="1"/>
  <c r="G78" i="7" s="1"/>
  <c r="F78" i="7" a="1"/>
  <c r="F78" i="7" s="1"/>
  <c r="E78" i="7" a="1"/>
  <c r="E78" i="7" s="1"/>
  <c r="D78" i="7" a="1"/>
  <c r="D78" i="7" s="1"/>
  <c r="Q77" i="7" a="1"/>
  <c r="Q77" i="7" s="1"/>
  <c r="P77" i="7" a="1"/>
  <c r="P77" i="7" s="1"/>
  <c r="O77" i="7" a="1"/>
  <c r="O77" i="7" s="1"/>
  <c r="N77" i="7" a="1"/>
  <c r="N77" i="7" s="1"/>
  <c r="M77" i="7" a="1"/>
  <c r="M77" i="7" s="1"/>
  <c r="L77" i="7" a="1"/>
  <c r="L77" i="7" s="1"/>
  <c r="K77" i="7" a="1"/>
  <c r="K77" i="7" s="1"/>
  <c r="J77" i="7" a="1"/>
  <c r="J77" i="7" s="1"/>
  <c r="I77" i="7" a="1"/>
  <c r="I77" i="7" s="1"/>
  <c r="H77" i="7" a="1"/>
  <c r="H77" i="7" s="1"/>
  <c r="G77" i="7" a="1"/>
  <c r="G77" i="7" s="1"/>
  <c r="F77" i="7"/>
  <c r="F77" i="7" a="1"/>
  <c r="E77" i="7" a="1"/>
  <c r="E77" i="7" s="1"/>
  <c r="D77" i="7" a="1"/>
  <c r="D77" i="7" s="1"/>
  <c r="Q76" i="7" a="1"/>
  <c r="Q76" i="7" s="1"/>
  <c r="P76" i="7" a="1"/>
  <c r="P76" i="7" s="1"/>
  <c r="O76" i="7" a="1"/>
  <c r="O76" i="7" s="1"/>
  <c r="N76" i="7" a="1"/>
  <c r="N76" i="7" s="1"/>
  <c r="M76" i="7" a="1"/>
  <c r="M76" i="7" s="1"/>
  <c r="L76" i="7" a="1"/>
  <c r="L76" i="7" s="1"/>
  <c r="K76" i="7" a="1"/>
  <c r="K76" i="7" s="1"/>
  <c r="J76" i="7" a="1"/>
  <c r="J76" i="7" s="1"/>
  <c r="I76" i="7" a="1"/>
  <c r="I76" i="7" s="1"/>
  <c r="H76" i="7" a="1"/>
  <c r="H76" i="7" s="1"/>
  <c r="G76" i="7" a="1"/>
  <c r="G76" i="7" s="1"/>
  <c r="F76" i="7" a="1"/>
  <c r="F76" i="7" s="1"/>
  <c r="E76" i="7" a="1"/>
  <c r="E76" i="7" s="1"/>
  <c r="D76" i="7" a="1"/>
  <c r="D76" i="7" s="1"/>
  <c r="Q75" i="7" a="1"/>
  <c r="Q75" i="7" s="1"/>
  <c r="P75" i="7" a="1"/>
  <c r="P75" i="7" s="1"/>
  <c r="O75" i="7" a="1"/>
  <c r="O75" i="7" s="1"/>
  <c r="N75" i="7" a="1"/>
  <c r="N75" i="7" s="1"/>
  <c r="M75" i="7" a="1"/>
  <c r="M75" i="7" s="1"/>
  <c r="L75" i="7" a="1"/>
  <c r="L75" i="7" s="1"/>
  <c r="K75" i="7" a="1"/>
  <c r="K75" i="7" s="1"/>
  <c r="J75" i="7" a="1"/>
  <c r="J75" i="7" s="1"/>
  <c r="I75" i="7" a="1"/>
  <c r="I75" i="7" s="1"/>
  <c r="H75" i="7" a="1"/>
  <c r="H75" i="7" s="1"/>
  <c r="G75" i="7" a="1"/>
  <c r="G75" i="7" s="1"/>
  <c r="F75" i="7" a="1"/>
  <c r="F75" i="7" s="1"/>
  <c r="E75" i="7" a="1"/>
  <c r="E75" i="7" s="1"/>
  <c r="D75" i="7" a="1"/>
  <c r="D75" i="7" s="1"/>
  <c r="Q74" i="7" a="1"/>
  <c r="Q74" i="7" s="1"/>
  <c r="P74" i="7" a="1"/>
  <c r="P74" i="7" s="1"/>
  <c r="O74" i="7" a="1"/>
  <c r="O74" i="7" s="1"/>
  <c r="N74" i="7" a="1"/>
  <c r="N74" i="7" s="1"/>
  <c r="M74" i="7" a="1"/>
  <c r="M74" i="7" s="1"/>
  <c r="L74" i="7" a="1"/>
  <c r="L74" i="7" s="1"/>
  <c r="K74" i="7" a="1"/>
  <c r="K74" i="7" s="1"/>
  <c r="J74" i="7" a="1"/>
  <c r="J74" i="7" s="1"/>
  <c r="I74" i="7" a="1"/>
  <c r="I74" i="7" s="1"/>
  <c r="H74" i="7" a="1"/>
  <c r="H74" i="7" s="1"/>
  <c r="G74" i="7" a="1"/>
  <c r="G74" i="7" s="1"/>
  <c r="F74" i="7" a="1"/>
  <c r="F74" i="7" s="1"/>
  <c r="E74" i="7"/>
  <c r="E74" i="7" a="1"/>
  <c r="D74" i="7"/>
  <c r="D74" i="7" a="1"/>
  <c r="Q73" i="7" a="1"/>
  <c r="Q73" i="7" s="1"/>
  <c r="P73" i="7" a="1"/>
  <c r="P73" i="7" s="1"/>
  <c r="O73" i="7" a="1"/>
  <c r="O73" i="7" s="1"/>
  <c r="N73" i="7" a="1"/>
  <c r="N73" i="7" s="1"/>
  <c r="M73" i="7" a="1"/>
  <c r="M73" i="7" s="1"/>
  <c r="L73" i="7" a="1"/>
  <c r="L73" i="7" s="1"/>
  <c r="K73" i="7"/>
  <c r="K73" i="7" a="1"/>
  <c r="J73" i="7" a="1"/>
  <c r="J73" i="7" s="1"/>
  <c r="I73" i="7" a="1"/>
  <c r="I73" i="7" s="1"/>
  <c r="H73" i="7"/>
  <c r="H73" i="7" a="1"/>
  <c r="G73" i="7" a="1"/>
  <c r="G73" i="7" s="1"/>
  <c r="F73" i="7" a="1"/>
  <c r="F73" i="7" s="1"/>
  <c r="E73" i="7" a="1"/>
  <c r="E73" i="7" s="1"/>
  <c r="D73" i="7"/>
  <c r="D73" i="7" a="1"/>
  <c r="Q72" i="7" a="1"/>
  <c r="Q72" i="7" s="1"/>
  <c r="P72" i="7" a="1"/>
  <c r="P72" i="7" s="1"/>
  <c r="O72" i="7" a="1"/>
  <c r="O72" i="7" s="1"/>
  <c r="N72" i="7" a="1"/>
  <c r="N72" i="7" s="1"/>
  <c r="M72" i="7" a="1"/>
  <c r="M72" i="7" s="1"/>
  <c r="L72" i="7"/>
  <c r="L72" i="7" a="1"/>
  <c r="K72" i="7" a="1"/>
  <c r="K72" i="7" s="1"/>
  <c r="J72" i="7" a="1"/>
  <c r="J72" i="7" s="1"/>
  <c r="I72" i="7" a="1"/>
  <c r="I72" i="7" s="1"/>
  <c r="H72" i="7" a="1"/>
  <c r="H72" i="7" s="1"/>
  <c r="G72" i="7" a="1"/>
  <c r="G72" i="7" s="1"/>
  <c r="F72" i="7" a="1"/>
  <c r="F72" i="7" s="1"/>
  <c r="E72" i="7" a="1"/>
  <c r="E72" i="7" s="1"/>
  <c r="D72" i="7" a="1"/>
  <c r="D72" i="7" s="1"/>
  <c r="Q71" i="7" a="1"/>
  <c r="Q71" i="7" s="1"/>
  <c r="P71" i="7"/>
  <c r="P71" i="7" a="1"/>
  <c r="O71" i="7"/>
  <c r="O71" i="7" a="1"/>
  <c r="N71" i="7" a="1"/>
  <c r="N71" i="7" s="1"/>
  <c r="M71" i="7" a="1"/>
  <c r="M71" i="7" s="1"/>
  <c r="L71" i="7" a="1"/>
  <c r="L71" i="7" s="1"/>
  <c r="K71" i="7" a="1"/>
  <c r="K71" i="7" s="1"/>
  <c r="J71" i="7" a="1"/>
  <c r="J71" i="7" s="1"/>
  <c r="I71" i="7" a="1"/>
  <c r="I71" i="7" s="1"/>
  <c r="H71" i="7" a="1"/>
  <c r="H71" i="7" s="1"/>
  <c r="G71" i="7"/>
  <c r="G71" i="7" a="1"/>
  <c r="F71" i="7" a="1"/>
  <c r="F71" i="7" s="1"/>
  <c r="E71" i="7" a="1"/>
  <c r="E71" i="7" s="1"/>
  <c r="D71" i="7" a="1"/>
  <c r="D71" i="7" s="1"/>
  <c r="Q70" i="7" a="1"/>
  <c r="Q70" i="7" s="1"/>
  <c r="P70" i="7" a="1"/>
  <c r="P70" i="7" s="1"/>
  <c r="O70" i="7" a="1"/>
  <c r="O70" i="7" s="1"/>
  <c r="N70" i="7" a="1"/>
  <c r="N70" i="7" s="1"/>
  <c r="M70" i="7"/>
  <c r="M70" i="7" a="1"/>
  <c r="L70" i="7"/>
  <c r="L70" i="7" a="1"/>
  <c r="K70" i="7" a="1"/>
  <c r="K70" i="7" s="1"/>
  <c r="J70" i="7" a="1"/>
  <c r="J70" i="7" s="1"/>
  <c r="I70" i="7" a="1"/>
  <c r="I70" i="7" s="1"/>
  <c r="H70" i="7" a="1"/>
  <c r="H70" i="7" s="1"/>
  <c r="G70" i="7" a="1"/>
  <c r="G70" i="7" s="1"/>
  <c r="F70" i="7" a="1"/>
  <c r="F70" i="7" s="1"/>
  <c r="E70" i="7"/>
  <c r="E70" i="7" a="1"/>
  <c r="D70" i="7"/>
  <c r="D70" i="7" a="1"/>
  <c r="Q69" i="7" a="1"/>
  <c r="Q69" i="7" s="1"/>
  <c r="P69" i="7"/>
  <c r="P69" i="7" a="1"/>
  <c r="O69" i="7" a="1"/>
  <c r="O69" i="7" s="1"/>
  <c r="N69" i="7" a="1"/>
  <c r="N69" i="7" s="1"/>
  <c r="M69" i="7" a="1"/>
  <c r="M69" i="7" s="1"/>
  <c r="L69" i="7" a="1"/>
  <c r="L69" i="7" s="1"/>
  <c r="K69" i="7"/>
  <c r="K69" i="7" a="1"/>
  <c r="J69" i="7" a="1"/>
  <c r="J69" i="7" s="1"/>
  <c r="I69" i="7" a="1"/>
  <c r="I69" i="7" s="1"/>
  <c r="H69" i="7"/>
  <c r="H69" i="7" a="1"/>
  <c r="G69" i="7" a="1"/>
  <c r="G69" i="7" s="1"/>
  <c r="F69" i="7"/>
  <c r="F69" i="7" a="1"/>
  <c r="E69" i="7" a="1"/>
  <c r="E69" i="7" s="1"/>
  <c r="D69" i="7" a="1"/>
  <c r="D69" i="7" s="1"/>
  <c r="Q68" i="7" a="1"/>
  <c r="Q68" i="7" s="1"/>
  <c r="P68" i="7" a="1"/>
  <c r="P68" i="7" s="1"/>
  <c r="O68" i="7" a="1"/>
  <c r="O68" i="7" s="1"/>
  <c r="N68" i="7" a="1"/>
  <c r="N68" i="7" s="1"/>
  <c r="M68" i="7" a="1"/>
  <c r="M68" i="7" s="1"/>
  <c r="L68" i="7"/>
  <c r="L68" i="7" a="1"/>
  <c r="K68" i="7" a="1"/>
  <c r="K68" i="7" s="1"/>
  <c r="J68" i="7"/>
  <c r="J68" i="7" a="1"/>
  <c r="I68" i="7"/>
  <c r="I68" i="7" a="1"/>
  <c r="H68" i="7"/>
  <c r="H68" i="7" a="1"/>
  <c r="G68" i="7" a="1"/>
  <c r="G68" i="7" s="1"/>
  <c r="F68" i="7" a="1"/>
  <c r="F68" i="7" s="1"/>
  <c r="E68" i="7" a="1"/>
  <c r="E68" i="7" s="1"/>
  <c r="D68" i="7" a="1"/>
  <c r="D68" i="7" s="1"/>
  <c r="Q67" i="7" a="1"/>
  <c r="Q67" i="7" s="1"/>
  <c r="P67" i="7"/>
  <c r="P67" i="7" a="1"/>
  <c r="O67" i="7" a="1"/>
  <c r="O67" i="7" s="1"/>
  <c r="N67" i="7"/>
  <c r="N67" i="7" a="1"/>
  <c r="M67" i="7" a="1"/>
  <c r="M67" i="7" s="1"/>
  <c r="L67" i="7"/>
  <c r="L67" i="7" a="1"/>
  <c r="K67" i="7" a="1"/>
  <c r="K67" i="7" s="1"/>
  <c r="J67" i="7" a="1"/>
  <c r="J67" i="7" s="1"/>
  <c r="I67" i="7" a="1"/>
  <c r="I67" i="7" s="1"/>
  <c r="H67" i="7" a="1"/>
  <c r="H67" i="7" s="1"/>
  <c r="G67" i="7" a="1"/>
  <c r="G67" i="7" s="1"/>
  <c r="F67" i="7"/>
  <c r="F67" i="7" a="1"/>
  <c r="E67" i="7" a="1"/>
  <c r="E67" i="7" s="1"/>
  <c r="D67" i="7"/>
  <c r="D67" i="7" a="1"/>
  <c r="Q66" i="7" a="1"/>
  <c r="Q66" i="7" s="1"/>
  <c r="P66" i="7"/>
  <c r="P66" i="7" a="1"/>
  <c r="O66" i="7" a="1"/>
  <c r="O66" i="7" s="1"/>
  <c r="N66" i="7" a="1"/>
  <c r="N66" i="7" s="1"/>
  <c r="M66" i="7" a="1"/>
  <c r="M66" i="7" s="1"/>
  <c r="L66" i="7"/>
  <c r="L66" i="7" a="1"/>
  <c r="K66" i="7" a="1"/>
  <c r="K66" i="7" s="1"/>
  <c r="J66" i="7"/>
  <c r="J66" i="7" a="1"/>
  <c r="I66" i="7" a="1"/>
  <c r="I66" i="7" s="1"/>
  <c r="H66" i="7"/>
  <c r="H66" i="7" a="1"/>
  <c r="G66" i="7" a="1"/>
  <c r="G66" i="7" s="1"/>
  <c r="F66" i="7"/>
  <c r="F66" i="7" a="1"/>
  <c r="E66" i="7" a="1"/>
  <c r="E66" i="7" s="1"/>
  <c r="D66" i="7"/>
  <c r="D66" i="7" a="1"/>
  <c r="Q65" i="7" a="1"/>
  <c r="Q65" i="7" s="1"/>
  <c r="P65" i="7"/>
  <c r="P65" i="7" a="1"/>
  <c r="O65" i="7" a="1"/>
  <c r="O65" i="7" s="1"/>
  <c r="N65" i="7"/>
  <c r="N65" i="7" a="1"/>
  <c r="M65" i="7" a="1"/>
  <c r="M65" i="7" s="1"/>
  <c r="L65" i="7"/>
  <c r="L65" i="7" a="1"/>
  <c r="K65" i="7" a="1"/>
  <c r="K65" i="7" s="1"/>
  <c r="J65" i="7" a="1"/>
  <c r="J65" i="7" s="1"/>
  <c r="I65" i="7" a="1"/>
  <c r="I65" i="7" s="1"/>
  <c r="H65" i="7"/>
  <c r="H65" i="7" a="1"/>
  <c r="G65" i="7" a="1"/>
  <c r="G65" i="7" s="1"/>
  <c r="F65" i="7"/>
  <c r="F65" i="7" a="1"/>
  <c r="E65" i="7" a="1"/>
  <c r="E65" i="7" s="1"/>
  <c r="D65" i="7"/>
  <c r="D65" i="7" a="1"/>
  <c r="Q64" i="7"/>
  <c r="Q64" i="7" a="1"/>
  <c r="P64" i="7"/>
  <c r="P64" i="7" a="1"/>
  <c r="O64" i="7" a="1"/>
  <c r="O64" i="7" s="1"/>
  <c r="N64" i="7" a="1"/>
  <c r="N64" i="7" s="1"/>
  <c r="M64" i="7" a="1"/>
  <c r="M64" i="7" s="1"/>
  <c r="L64" i="7"/>
  <c r="L64" i="7" a="1"/>
  <c r="K64" i="7" a="1"/>
  <c r="K64" i="7" s="1"/>
  <c r="J64" i="7" a="1"/>
  <c r="J64" i="7" s="1"/>
  <c r="I64" i="7"/>
  <c r="I64" i="7" a="1"/>
  <c r="H64" i="7" a="1"/>
  <c r="H64" i="7" s="1"/>
  <c r="G64" i="7" a="1"/>
  <c r="G64" i="7" s="1"/>
  <c r="F64" i="7"/>
  <c r="F64" i="7" a="1"/>
  <c r="E64" i="7" a="1"/>
  <c r="E64" i="7" s="1"/>
  <c r="D64" i="7" a="1"/>
  <c r="D64" i="7" s="1"/>
  <c r="Q63" i="7" a="1"/>
  <c r="Q63" i="7" s="1"/>
  <c r="P63" i="7" a="1"/>
  <c r="P63" i="7" s="1"/>
  <c r="O63" i="7" a="1"/>
  <c r="O63" i="7" s="1"/>
  <c r="N63" i="7"/>
  <c r="N63" i="7" a="1"/>
  <c r="M63" i="7" a="1"/>
  <c r="M63" i="7" s="1"/>
  <c r="L63" i="7" a="1"/>
  <c r="L63" i="7" s="1"/>
  <c r="K63" i="7" a="1"/>
  <c r="K63" i="7" s="1"/>
  <c r="J63" i="7"/>
  <c r="J63" i="7" a="1"/>
  <c r="I63" i="7" a="1"/>
  <c r="I63" i="7" s="1"/>
  <c r="H63" i="7" a="1"/>
  <c r="H63" i="7" s="1"/>
  <c r="G63" i="7" a="1"/>
  <c r="G63" i="7" s="1"/>
  <c r="F63" i="7" a="1"/>
  <c r="F63" i="7" s="1"/>
  <c r="E63" i="7" a="1"/>
  <c r="E63" i="7" s="1"/>
  <c r="D63" i="7" a="1"/>
  <c r="D63" i="7" s="1"/>
  <c r="Q62" i="7" a="1"/>
  <c r="Q62" i="7" s="1"/>
  <c r="P62" i="7" a="1"/>
  <c r="P62" i="7" s="1"/>
  <c r="O62" i="7" a="1"/>
  <c r="O62" i="7" s="1"/>
  <c r="N62" i="7"/>
  <c r="N62" i="7" a="1"/>
  <c r="M62" i="7"/>
  <c r="M62" i="7" a="1"/>
  <c r="L62" i="7" a="1"/>
  <c r="L62" i="7" s="1"/>
  <c r="K62" i="7" a="1"/>
  <c r="K62" i="7" s="1"/>
  <c r="J62" i="7" a="1"/>
  <c r="J62" i="7" s="1"/>
  <c r="I62" i="7" a="1"/>
  <c r="I62" i="7" s="1"/>
  <c r="H62" i="7" a="1"/>
  <c r="H62" i="7" s="1"/>
  <c r="G62" i="7" a="1"/>
  <c r="G62" i="7" s="1"/>
  <c r="F62" i="7" a="1"/>
  <c r="F62" i="7" s="1"/>
  <c r="E62" i="7"/>
  <c r="E62" i="7" a="1"/>
  <c r="D62" i="7" a="1"/>
  <c r="D62" i="7" s="1"/>
  <c r="Q61" i="7" a="1"/>
  <c r="Q61" i="7" s="1"/>
  <c r="P61" i="7" a="1"/>
  <c r="P61" i="7" s="1"/>
  <c r="O61" i="7" a="1"/>
  <c r="O61" i="7" s="1"/>
  <c r="N61" i="7" a="1"/>
  <c r="N61" i="7" s="1"/>
  <c r="M61" i="7" a="1"/>
  <c r="M61" i="7" s="1"/>
  <c r="L61" i="7" a="1"/>
  <c r="L61" i="7" s="1"/>
  <c r="K61" i="7"/>
  <c r="K61" i="7" a="1"/>
  <c r="J61" i="7"/>
  <c r="J61" i="7" a="1"/>
  <c r="I61" i="7" a="1"/>
  <c r="I61" i="7" s="1"/>
  <c r="H61" i="7" a="1"/>
  <c r="H61" i="7" s="1"/>
  <c r="G61" i="7" a="1"/>
  <c r="G61" i="7" s="1"/>
  <c r="F61" i="7" a="1"/>
  <c r="F61" i="7" s="1"/>
  <c r="E61" i="7" a="1"/>
  <c r="E61" i="7" s="1"/>
  <c r="D61" i="7" a="1"/>
  <c r="D61" i="7" s="1"/>
  <c r="Q60" i="7"/>
  <c r="Q60" i="7" a="1"/>
  <c r="P60" i="7"/>
  <c r="P60" i="7" a="1"/>
  <c r="O60" i="7" a="1"/>
  <c r="O60" i="7" s="1"/>
  <c r="N60" i="7"/>
  <c r="N60" i="7" a="1"/>
  <c r="M60" i="7" a="1"/>
  <c r="M60" i="7" s="1"/>
  <c r="L60" i="7" a="1"/>
  <c r="L60" i="7" s="1"/>
  <c r="K60" i="7" a="1"/>
  <c r="K60" i="7" s="1"/>
  <c r="J60" i="7" a="1"/>
  <c r="J60" i="7" s="1"/>
  <c r="I60" i="7"/>
  <c r="I60" i="7" a="1"/>
  <c r="H60" i="7" a="1"/>
  <c r="H60" i="7" s="1"/>
  <c r="G60" i="7" a="1"/>
  <c r="G60" i="7" s="1"/>
  <c r="F60" i="7"/>
  <c r="F60" i="7" a="1"/>
  <c r="E60" i="7" a="1"/>
  <c r="E60" i="7" s="1"/>
  <c r="D60" i="7"/>
  <c r="D60" i="7" a="1"/>
  <c r="Q59" i="7" a="1"/>
  <c r="Q59" i="7" s="1"/>
  <c r="P59" i="7" a="1"/>
  <c r="P59" i="7" s="1"/>
  <c r="O59" i="7" a="1"/>
  <c r="O59" i="7" s="1"/>
  <c r="N59" i="7"/>
  <c r="N59" i="7" a="1"/>
  <c r="M59" i="7" a="1"/>
  <c r="M59" i="7" s="1"/>
  <c r="L59" i="7" a="1"/>
  <c r="L59" i="7" s="1"/>
  <c r="K59" i="7" a="1"/>
  <c r="K59" i="7" s="1"/>
  <c r="J59" i="7"/>
  <c r="J59" i="7" a="1"/>
  <c r="I59" i="7" a="1"/>
  <c r="I59" i="7" s="1"/>
  <c r="H59" i="7"/>
  <c r="H59" i="7" a="1"/>
  <c r="G59" i="7"/>
  <c r="G59" i="7" a="1"/>
  <c r="F59" i="7"/>
  <c r="F59" i="7" a="1"/>
  <c r="E59" i="7" a="1"/>
  <c r="E59" i="7" s="1"/>
  <c r="D59" i="7" a="1"/>
  <c r="D59" i="7" s="1"/>
  <c r="Q58" i="7" a="1"/>
  <c r="Q58" i="7" s="1"/>
  <c r="P58" i="7" a="1"/>
  <c r="P58" i="7" s="1"/>
  <c r="O58" i="7" a="1"/>
  <c r="O58" i="7" s="1"/>
  <c r="N58" i="7"/>
  <c r="N58" i="7" a="1"/>
  <c r="M58" i="7" a="1"/>
  <c r="M58" i="7" s="1"/>
  <c r="L58" i="7"/>
  <c r="L58" i="7" a="1"/>
  <c r="K58" i="7" a="1"/>
  <c r="K58" i="7" s="1"/>
  <c r="J58" i="7"/>
  <c r="J58" i="7" a="1"/>
  <c r="I58" i="7" a="1"/>
  <c r="I58" i="7" s="1"/>
  <c r="H58" i="7" a="1"/>
  <c r="H58" i="7" s="1"/>
  <c r="G58" i="7" a="1"/>
  <c r="G58" i="7" s="1"/>
  <c r="F58" i="7" a="1"/>
  <c r="F58" i="7" s="1"/>
  <c r="E58" i="7"/>
  <c r="E58" i="7" a="1"/>
  <c r="D58" i="7"/>
  <c r="D58" i="7" a="1"/>
  <c r="Q57" i="7" a="1"/>
  <c r="Q57" i="7" s="1"/>
  <c r="P57" i="7"/>
  <c r="P57" i="7" a="1"/>
  <c r="O57" i="7" a="1"/>
  <c r="O57" i="7" s="1"/>
  <c r="N57" i="7"/>
  <c r="N57" i="7" a="1"/>
  <c r="M57" i="7" a="1"/>
  <c r="M57" i="7" s="1"/>
  <c r="L57" i="7" a="1"/>
  <c r="L57" i="7" s="1"/>
  <c r="K57" i="7" a="1"/>
  <c r="K57" i="7" s="1"/>
  <c r="J57" i="7"/>
  <c r="J57" i="7" a="1"/>
  <c r="I57" i="7" a="1"/>
  <c r="I57" i="7" s="1"/>
  <c r="H57" i="7"/>
  <c r="H57" i="7" a="1"/>
  <c r="G57" i="7" a="1"/>
  <c r="G57" i="7" s="1"/>
  <c r="F57" i="7"/>
  <c r="F57" i="7" a="1"/>
  <c r="E57" i="7" a="1"/>
  <c r="E57" i="7" s="1"/>
  <c r="D57" i="7"/>
  <c r="D57" i="7" a="1"/>
  <c r="Q56" i="7" a="1"/>
  <c r="Q56" i="7" s="1"/>
  <c r="P56" i="7"/>
  <c r="P56" i="7" a="1"/>
  <c r="O56" i="7" a="1"/>
  <c r="O56" i="7" s="1"/>
  <c r="N56" i="7"/>
  <c r="N56" i="7" a="1"/>
  <c r="M56" i="7" a="1"/>
  <c r="M56" i="7" s="1"/>
  <c r="L56" i="7"/>
  <c r="L56" i="7" a="1"/>
  <c r="K56" i="7" a="1"/>
  <c r="K56" i="7" s="1"/>
  <c r="J56" i="7"/>
  <c r="J56" i="7" a="1"/>
  <c r="I56" i="7" a="1"/>
  <c r="I56" i="7" s="1"/>
  <c r="H56" i="7" a="1"/>
  <c r="H56" i="7" s="1"/>
  <c r="G56" i="7" a="1"/>
  <c r="G56" i="7" s="1"/>
  <c r="F56" i="7"/>
  <c r="F56" i="7" a="1"/>
  <c r="E56" i="7" a="1"/>
  <c r="E56" i="7" s="1"/>
  <c r="D56" i="7" a="1"/>
  <c r="D56" i="7" s="1"/>
  <c r="Q55" i="7" a="1"/>
  <c r="Q55" i="7" s="1"/>
  <c r="P55" i="7"/>
  <c r="P55" i="7" a="1"/>
  <c r="O55" i="7"/>
  <c r="O55" i="7" a="1"/>
  <c r="N55" i="7"/>
  <c r="N55" i="7" a="1"/>
  <c r="M55" i="7" a="1"/>
  <c r="M55" i="7" s="1"/>
  <c r="L55" i="7" a="1"/>
  <c r="L55" i="7" s="1"/>
  <c r="K55" i="7" a="1"/>
  <c r="K55" i="7" s="1"/>
  <c r="J55" i="7"/>
  <c r="J55" i="7" a="1"/>
  <c r="I55" i="7" a="1"/>
  <c r="I55" i="7" s="1"/>
  <c r="H55" i="7" a="1"/>
  <c r="H55" i="7" s="1"/>
  <c r="G55" i="7"/>
  <c r="G55" i="7" a="1"/>
  <c r="F55" i="7" a="1"/>
  <c r="F55" i="7" s="1"/>
  <c r="E55" i="7" a="1"/>
  <c r="E55" i="7" s="1"/>
  <c r="D55" i="7"/>
  <c r="D55" i="7" a="1"/>
  <c r="Q54" i="7" a="1"/>
  <c r="Q54" i="7" s="1"/>
  <c r="P54" i="7" a="1"/>
  <c r="P54" i="7" s="1"/>
  <c r="O54" i="7" a="1"/>
  <c r="O54" i="7" s="1"/>
  <c r="N54" i="7" a="1"/>
  <c r="N54" i="7" s="1"/>
  <c r="M54" i="7"/>
  <c r="M54" i="7" a="1"/>
  <c r="L54" i="7"/>
  <c r="L54" i="7" a="1"/>
  <c r="K54" i="7" a="1"/>
  <c r="K54" i="7" s="1"/>
  <c r="J54" i="7" a="1"/>
  <c r="J54" i="7" s="1"/>
  <c r="I54" i="7" a="1"/>
  <c r="I54" i="7" s="1"/>
  <c r="H54" i="7"/>
  <c r="H54" i="7" a="1"/>
  <c r="G54" i="7" a="1"/>
  <c r="G54" i="7" s="1"/>
  <c r="F54" i="7" a="1"/>
  <c r="F54" i="7" s="1"/>
  <c r="E54" i="7"/>
  <c r="E54" i="7" a="1"/>
  <c r="D54" i="7" a="1"/>
  <c r="D54" i="7" s="1"/>
  <c r="Q53" i="7" a="1"/>
  <c r="Q53" i="7" s="1"/>
  <c r="P53" i="7" a="1"/>
  <c r="P53" i="7" s="1"/>
  <c r="O53" i="7" a="1"/>
  <c r="O53" i="7" s="1"/>
  <c r="N53" i="7" a="1"/>
  <c r="N53" i="7" s="1"/>
  <c r="M53" i="7" a="1"/>
  <c r="M53" i="7" s="1"/>
  <c r="L53" i="7"/>
  <c r="L53" i="7" a="1"/>
  <c r="K53" i="7"/>
  <c r="K53" i="7" a="1"/>
  <c r="J53" i="7" a="1"/>
  <c r="J53" i="7" s="1"/>
  <c r="I53" i="7" a="1"/>
  <c r="I53" i="7" s="1"/>
  <c r="H53" i="7" a="1"/>
  <c r="H53" i="7" s="1"/>
  <c r="G53" i="7" a="1"/>
  <c r="G53" i="7" s="1"/>
  <c r="F53" i="7" a="1"/>
  <c r="F53" i="7" s="1"/>
  <c r="E53" i="7" a="1"/>
  <c r="E53" i="7" s="1"/>
  <c r="D53" i="7" a="1"/>
  <c r="D53" i="7" s="1"/>
  <c r="Q52" i="7"/>
  <c r="Q52" i="7" a="1"/>
  <c r="P52" i="7" a="1"/>
  <c r="P52" i="7" s="1"/>
  <c r="O52" i="7" a="1"/>
  <c r="O52" i="7" s="1"/>
  <c r="N52" i="7" a="1"/>
  <c r="N52" i="7" s="1"/>
  <c r="M52" i="7" a="1"/>
  <c r="M52" i="7" s="1"/>
  <c r="L52" i="7" a="1"/>
  <c r="L52" i="7" s="1"/>
  <c r="K52" i="7" a="1"/>
  <c r="K52" i="7" s="1"/>
  <c r="J52" i="7" a="1"/>
  <c r="J52" i="7" s="1"/>
  <c r="I52" i="7"/>
  <c r="I52" i="7" a="1"/>
  <c r="H52" i="7"/>
  <c r="H52" i="7" a="1"/>
  <c r="G52" i="7" a="1"/>
  <c r="G52" i="7" s="1"/>
  <c r="F52" i="7" a="1"/>
  <c r="F52" i="7" s="1"/>
  <c r="E52" i="7" a="1"/>
  <c r="E52" i="7" s="1"/>
  <c r="D52" i="7" a="1"/>
  <c r="D52" i="7" s="1"/>
  <c r="Q51" i="7" a="1"/>
  <c r="Q51" i="7" s="1"/>
  <c r="P51" i="7" a="1"/>
  <c r="P51" i="7" s="1"/>
  <c r="O51" i="7"/>
  <c r="O51" i="7" a="1"/>
  <c r="N51" i="7"/>
  <c r="N51" i="7" a="1"/>
  <c r="M51" i="7" a="1"/>
  <c r="M51" i="7" s="1"/>
  <c r="L51" i="7"/>
  <c r="L51" i="7" a="1"/>
  <c r="K51" i="7" a="1"/>
  <c r="K51" i="7" s="1"/>
  <c r="J51" i="7" a="1"/>
  <c r="J51" i="7" s="1"/>
  <c r="I51" i="7" a="1"/>
  <c r="I51" i="7" s="1"/>
  <c r="H51" i="7" a="1"/>
  <c r="H51" i="7" s="1"/>
  <c r="G51" i="7"/>
  <c r="G51" i="7" a="1"/>
  <c r="F51" i="7"/>
  <c r="F51" i="7" a="1"/>
  <c r="E51" i="7" a="1"/>
  <c r="E51" i="7" s="1"/>
  <c r="D51" i="7"/>
  <c r="D51" i="7" a="1"/>
  <c r="Q50" i="7" a="1"/>
  <c r="Q50" i="7" s="1"/>
  <c r="P50" i="7"/>
  <c r="P50" i="7" a="1"/>
  <c r="O50" i="7" a="1"/>
  <c r="O50" i="7" s="1"/>
  <c r="N50" i="7" a="1"/>
  <c r="N50" i="7" s="1"/>
  <c r="M50" i="7" a="1"/>
  <c r="M50" i="7" s="1"/>
  <c r="L50" i="7"/>
  <c r="L50" i="7" a="1"/>
  <c r="K50" i="7" a="1"/>
  <c r="K50" i="7" s="1"/>
  <c r="J50" i="7"/>
  <c r="J50" i="7" a="1"/>
  <c r="I50" i="7" a="1"/>
  <c r="I50" i="7" s="1"/>
  <c r="H50" i="7"/>
  <c r="H50" i="7" a="1"/>
  <c r="G50" i="7" a="1"/>
  <c r="G50" i="7" s="1"/>
  <c r="F50" i="7" a="1"/>
  <c r="F50" i="7" s="1"/>
  <c r="E50" i="7"/>
  <c r="E50" i="7" a="1"/>
  <c r="D50" i="7"/>
  <c r="D50" i="7" a="1"/>
  <c r="Q49" i="7" a="1"/>
  <c r="Q49" i="7" s="1"/>
  <c r="P49" i="7" a="1"/>
  <c r="P49" i="7" s="1"/>
  <c r="O49" i="7" a="1"/>
  <c r="O49" i="7" s="1"/>
  <c r="N49" i="7" a="1"/>
  <c r="N49" i="7" s="1"/>
  <c r="M49" i="7" a="1"/>
  <c r="M49" i="7" s="1"/>
  <c r="L49" i="7"/>
  <c r="L49" i="7" a="1"/>
  <c r="K49" i="7" a="1"/>
  <c r="K49" i="7" s="1"/>
  <c r="J49" i="7"/>
  <c r="J49" i="7" a="1"/>
  <c r="I49" i="7" a="1"/>
  <c r="I49" i="7" s="1"/>
  <c r="H49" i="7"/>
  <c r="H49" i="7" a="1"/>
  <c r="G49" i="7" a="1"/>
  <c r="G49" i="7" s="1"/>
  <c r="F49" i="7" a="1"/>
  <c r="F49" i="7" s="1"/>
  <c r="E49" i="7" a="1"/>
  <c r="E49" i="7" s="1"/>
  <c r="D49" i="7" a="1"/>
  <c r="D49" i="7" s="1"/>
  <c r="Q48" i="7" a="1"/>
  <c r="Q48" i="7" s="1"/>
  <c r="P48" i="7"/>
  <c r="P48" i="7" a="1"/>
  <c r="O48" i="7" a="1"/>
  <c r="O48" i="7" s="1"/>
  <c r="N48" i="7"/>
  <c r="N48" i="7" a="1"/>
  <c r="M48" i="7" a="1"/>
  <c r="M48" i="7" s="1"/>
  <c r="L48" i="7"/>
  <c r="L48" i="7" a="1"/>
  <c r="K48" i="7" a="1"/>
  <c r="K48" i="7" s="1"/>
  <c r="J48" i="7" a="1"/>
  <c r="J48" i="7" s="1"/>
  <c r="I48" i="7" a="1"/>
  <c r="I48" i="7" s="1"/>
  <c r="H48" i="7"/>
  <c r="H48" i="7" a="1"/>
  <c r="G48" i="7" a="1"/>
  <c r="G48" i="7" s="1"/>
  <c r="F48" i="7"/>
  <c r="F48" i="7" a="1"/>
  <c r="E48" i="7" a="1"/>
  <c r="E48" i="7" s="1"/>
  <c r="D48" i="7"/>
  <c r="D48" i="7" a="1"/>
  <c r="Q47" i="7" a="1"/>
  <c r="Q47" i="7" s="1"/>
  <c r="P47" i="7"/>
  <c r="P47" i="7" a="1"/>
  <c r="O47" i="7" a="1"/>
  <c r="O47" i="7" s="1"/>
  <c r="N47" i="7"/>
  <c r="N47" i="7" a="1"/>
  <c r="M47" i="7" a="1"/>
  <c r="M47" i="7" s="1"/>
  <c r="L47" i="7"/>
  <c r="L47" i="7" a="1"/>
  <c r="K47" i="7" a="1"/>
  <c r="K47" i="7" s="1"/>
  <c r="J47" i="7"/>
  <c r="J47" i="7" a="1"/>
  <c r="I47" i="7" a="1"/>
  <c r="I47" i="7" s="1"/>
  <c r="H47" i="7"/>
  <c r="H47" i="7" a="1"/>
  <c r="G47" i="7" a="1"/>
  <c r="G47" i="7" s="1"/>
  <c r="F47" i="7" a="1"/>
  <c r="F47" i="7" s="1"/>
  <c r="E47" i="7" a="1"/>
  <c r="E47" i="7" s="1"/>
  <c r="D47" i="7"/>
  <c r="D47" i="7" a="1"/>
  <c r="Q46" i="7" a="1"/>
  <c r="Q46" i="7" s="1"/>
  <c r="P46" i="7" a="1"/>
  <c r="P46" i="7" s="1"/>
  <c r="O46" i="7" a="1"/>
  <c r="O46" i="7" s="1"/>
  <c r="N46" i="7"/>
  <c r="N46" i="7" a="1"/>
  <c r="M46" i="7"/>
  <c r="M46" i="7" a="1"/>
  <c r="L46" i="7"/>
  <c r="L46" i="7" a="1"/>
  <c r="K46" i="7" a="1"/>
  <c r="K46" i="7" s="1"/>
  <c r="J46" i="7" a="1"/>
  <c r="J46" i="7" s="1"/>
  <c r="I46" i="7" a="1"/>
  <c r="I46" i="7" s="1"/>
  <c r="H46" i="7"/>
  <c r="H46" i="7" a="1"/>
  <c r="G46" i="7" a="1"/>
  <c r="G46" i="7" s="1"/>
  <c r="F46" i="7" a="1"/>
  <c r="F46" i="7" s="1"/>
  <c r="E46" i="7"/>
  <c r="E46" i="7" a="1"/>
  <c r="D46" i="7" a="1"/>
  <c r="D46" i="7" s="1"/>
  <c r="Q45" i="7" a="1"/>
  <c r="Q45" i="7" s="1"/>
  <c r="P45" i="7"/>
  <c r="P45" i="7" a="1"/>
  <c r="O45" i="7" a="1"/>
  <c r="O45" i="7" s="1"/>
  <c r="N45" i="7" a="1"/>
  <c r="N45" i="7" s="1"/>
  <c r="M45" i="7" a="1"/>
  <c r="M45" i="7" s="1"/>
  <c r="L45" i="7"/>
  <c r="L45" i="7" a="1"/>
  <c r="K45" i="7"/>
  <c r="K45" i="7" a="1"/>
  <c r="J45" i="7" a="1"/>
  <c r="J45" i="7" s="1"/>
  <c r="I45" i="7" a="1"/>
  <c r="I45" i="7" s="1"/>
  <c r="H45" i="7" a="1"/>
  <c r="H45" i="7" s="1"/>
  <c r="G45" i="7" a="1"/>
  <c r="G45" i="7" s="1"/>
  <c r="F45" i="7"/>
  <c r="F45" i="7" a="1"/>
  <c r="E45" i="7" a="1"/>
  <c r="E45" i="7" s="1"/>
  <c r="D45" i="7" a="1"/>
  <c r="D45" i="7" s="1"/>
  <c r="Q44" i="7"/>
  <c r="Q44" i="7" a="1"/>
  <c r="P44" i="7" a="1"/>
  <c r="P44" i="7" s="1"/>
  <c r="O44" i="7" a="1"/>
  <c r="O44" i="7" s="1"/>
  <c r="N44" i="7" a="1"/>
  <c r="N44" i="7" s="1"/>
  <c r="M44" i="7" a="1"/>
  <c r="M44" i="7" s="1"/>
  <c r="L44" i="7" a="1"/>
  <c r="L44" i="7" s="1"/>
  <c r="K44" i="7" a="1"/>
  <c r="K44" i="7" s="1"/>
  <c r="J44" i="7"/>
  <c r="J44" i="7" a="1"/>
  <c r="I44" i="7"/>
  <c r="I44" i="7" a="1"/>
  <c r="H44" i="7" a="1"/>
  <c r="H44" i="7" s="1"/>
  <c r="G44" i="7" a="1"/>
  <c r="G44" i="7" s="1"/>
  <c r="F44" i="7" a="1"/>
  <c r="F44" i="7" s="1"/>
  <c r="E44" i="7" a="1"/>
  <c r="E44" i="7" s="1"/>
  <c r="D44" i="7" a="1"/>
  <c r="D44" i="7" s="1"/>
  <c r="Q43" i="7" a="1"/>
  <c r="Q43" i="7" s="1"/>
  <c r="P43" i="7" a="1"/>
  <c r="P43" i="7" s="1"/>
  <c r="O43" i="7"/>
  <c r="O43" i="7" a="1"/>
  <c r="N43" i="7" a="1"/>
  <c r="N43" i="7" s="1"/>
  <c r="M43" i="7" a="1"/>
  <c r="M43" i="7" s="1"/>
  <c r="L43" i="7" a="1"/>
  <c r="L43" i="7" s="1"/>
  <c r="K43" i="7" a="1"/>
  <c r="K43" i="7" s="1"/>
  <c r="J43" i="7" a="1"/>
  <c r="J43" i="7" s="1"/>
  <c r="I43" i="7" a="1"/>
  <c r="I43" i="7" s="1"/>
  <c r="H43" i="7" a="1"/>
  <c r="H43" i="7" s="1"/>
  <c r="G43" i="7"/>
  <c r="G43" i="7" a="1"/>
  <c r="F43" i="7" a="1"/>
  <c r="F43" i="7" s="1"/>
  <c r="E43" i="7" a="1"/>
  <c r="E43" i="7" s="1"/>
  <c r="D43" i="7" a="1"/>
  <c r="D43" i="7" s="1"/>
  <c r="Q42" i="7" a="1"/>
  <c r="Q42" i="7" s="1"/>
  <c r="P42" i="7" a="1"/>
  <c r="P42" i="7" s="1"/>
  <c r="O42" i="7" a="1"/>
  <c r="O42" i="7" s="1"/>
  <c r="N42" i="7" a="1"/>
  <c r="N42" i="7" s="1"/>
  <c r="M42" i="7"/>
  <c r="M42" i="7" a="1"/>
  <c r="L42" i="7"/>
  <c r="L42" i="7" a="1"/>
  <c r="K42" i="7" a="1"/>
  <c r="K42" i="7" s="1"/>
  <c r="J42" i="7" a="1"/>
  <c r="J42" i="7" s="1"/>
  <c r="I42" i="7" a="1"/>
  <c r="I42" i="7" s="1"/>
  <c r="H42" i="7" a="1"/>
  <c r="H42" i="7" s="1"/>
  <c r="G42" i="7" a="1"/>
  <c r="G42" i="7" s="1"/>
  <c r="F42" i="7" a="1"/>
  <c r="F42" i="7" s="1"/>
  <c r="E42" i="7"/>
  <c r="E42" i="7" a="1"/>
  <c r="D42" i="7"/>
  <c r="D42" i="7" a="1"/>
  <c r="Q41" i="7" a="1"/>
  <c r="Q41" i="7" s="1"/>
  <c r="P41" i="7"/>
  <c r="P41" i="7" a="1"/>
  <c r="O41" i="7" a="1"/>
  <c r="O41" i="7" s="1"/>
  <c r="N41" i="7" a="1"/>
  <c r="N41" i="7" s="1"/>
  <c r="M41" i="7" a="1"/>
  <c r="M41" i="7" s="1"/>
  <c r="L41" i="7" a="1"/>
  <c r="L41" i="7" s="1"/>
  <c r="K41" i="7" a="1"/>
  <c r="K41" i="7" s="1"/>
  <c r="J41" i="7"/>
  <c r="J41" i="7" a="1"/>
  <c r="I41" i="7" a="1"/>
  <c r="I41" i="7" s="1"/>
  <c r="H41" i="7"/>
  <c r="H41" i="7" a="1"/>
  <c r="G41" i="7" a="1"/>
  <c r="G41" i="7" s="1"/>
  <c r="F41" i="7"/>
  <c r="F41" i="7" a="1"/>
  <c r="E41" i="7" a="1"/>
  <c r="E41" i="7" s="1"/>
  <c r="D41" i="7" a="1"/>
  <c r="D41" i="7" s="1"/>
  <c r="Q40" i="7"/>
  <c r="Q40" i="7" a="1"/>
  <c r="P40" i="7"/>
  <c r="P40" i="7" a="1"/>
  <c r="O40" i="7" a="1"/>
  <c r="O40" i="7" s="1"/>
  <c r="N40" i="7" a="1"/>
  <c r="N40" i="7" s="1"/>
  <c r="M40" i="7" a="1"/>
  <c r="M40" i="7" s="1"/>
  <c r="L40" i="7" a="1"/>
  <c r="L40" i="7" s="1"/>
  <c r="K40" i="7" a="1"/>
  <c r="K40" i="7" s="1"/>
  <c r="J40" i="7"/>
  <c r="J40" i="7" a="1"/>
  <c r="I40" i="7" a="1"/>
  <c r="I40" i="7" s="1"/>
  <c r="H40" i="7"/>
  <c r="H40" i="7" a="1"/>
  <c r="G40" i="7" a="1"/>
  <c r="G40" i="7" s="1"/>
  <c r="F40" i="7"/>
  <c r="F40" i="7" a="1"/>
  <c r="E40" i="7" a="1"/>
  <c r="E40" i="7" s="1"/>
  <c r="D40" i="7" a="1"/>
  <c r="D40" i="7" s="1"/>
  <c r="Q39" i="7" a="1"/>
  <c r="Q39" i="7" s="1"/>
  <c r="P39" i="7" a="1"/>
  <c r="P39" i="7" s="1"/>
  <c r="O39" i="7" a="1"/>
  <c r="O39" i="7" s="1"/>
  <c r="N39" i="7"/>
  <c r="N39" i="7" a="1"/>
  <c r="M39" i="7" a="1"/>
  <c r="M39" i="7" s="1"/>
  <c r="L39" i="7"/>
  <c r="L39" i="7" a="1"/>
  <c r="K39" i="7" a="1"/>
  <c r="K39" i="7" s="1"/>
  <c r="J39" i="7"/>
  <c r="J39" i="7" a="1"/>
  <c r="I39" i="7" a="1"/>
  <c r="I39" i="7" s="1"/>
  <c r="H39" i="7" a="1"/>
  <c r="H39" i="7" s="1"/>
  <c r="G39" i="7" a="1"/>
  <c r="G39" i="7" s="1"/>
  <c r="F39" i="7"/>
  <c r="F39" i="7" a="1"/>
  <c r="E39" i="7" a="1"/>
  <c r="E39" i="7" s="1"/>
  <c r="D39" i="7"/>
  <c r="D39" i="7" a="1"/>
  <c r="Q38" i="7" a="1"/>
  <c r="Q38" i="7" s="1"/>
  <c r="P38" i="7"/>
  <c r="P38" i="7" a="1"/>
  <c r="O38" i="7" a="1"/>
  <c r="O38" i="7" s="1"/>
  <c r="N38" i="7"/>
  <c r="N38" i="7" a="1"/>
  <c r="M38" i="7" a="1"/>
  <c r="M38" i="7" s="1"/>
  <c r="L38" i="7"/>
  <c r="L38" i="7" a="1"/>
  <c r="K38" i="7" a="1"/>
  <c r="K38" i="7" s="1"/>
  <c r="J38" i="7"/>
  <c r="J38" i="7" a="1"/>
  <c r="I38" i="7" a="1"/>
  <c r="I38" i="7" s="1"/>
  <c r="H38" i="7"/>
  <c r="H38" i="7" a="1"/>
  <c r="G38" i="7" a="1"/>
  <c r="G38" i="7" s="1"/>
  <c r="F38" i="7"/>
  <c r="F38" i="7" a="1"/>
  <c r="E38" i="7" a="1"/>
  <c r="E38" i="7" s="1"/>
  <c r="D38" i="7" a="1"/>
  <c r="D38" i="7" s="1"/>
  <c r="Q37" i="7" a="1"/>
  <c r="Q37" i="7" s="1"/>
  <c r="P37" i="7"/>
  <c r="P37" i="7" a="1"/>
  <c r="O37" i="7" a="1"/>
  <c r="O37" i="7" s="1"/>
  <c r="N37" i="7"/>
  <c r="N37" i="7" a="1"/>
  <c r="M37" i="7" a="1"/>
  <c r="M37" i="7" s="1"/>
  <c r="L37" i="7"/>
  <c r="L37" i="7" a="1"/>
  <c r="K37" i="7" a="1"/>
  <c r="K37" i="7" s="1"/>
  <c r="J37" i="7"/>
  <c r="J37" i="7" a="1"/>
  <c r="I37" i="7" a="1"/>
  <c r="I37" i="7" s="1"/>
  <c r="H37" i="7" a="1"/>
  <c r="H37" i="7" s="1"/>
  <c r="G37" i="7" a="1"/>
  <c r="G37" i="7" s="1"/>
  <c r="F37" i="7"/>
  <c r="F37" i="7" a="1"/>
  <c r="E37" i="7" a="1"/>
  <c r="E37" i="7" s="1"/>
  <c r="D37" i="7"/>
  <c r="D37" i="7" a="1"/>
  <c r="Q36" i="7"/>
  <c r="Q36" i="7" a="1"/>
  <c r="P36" i="7" a="1"/>
  <c r="P36" i="7" s="1"/>
  <c r="O36" i="7" a="1"/>
  <c r="O36" i="7" s="1"/>
  <c r="N36" i="7"/>
  <c r="N36" i="7" a="1"/>
  <c r="M36" i="7" a="1"/>
  <c r="M36" i="7" s="1"/>
  <c r="L36" i="7" a="1"/>
  <c r="L36" i="7" s="1"/>
  <c r="K36" i="7" a="1"/>
  <c r="K36" i="7" s="1"/>
  <c r="J36" i="7"/>
  <c r="J36" i="7" a="1"/>
  <c r="I36" i="7" a="1"/>
  <c r="I36" i="7" s="1"/>
  <c r="H36" i="7" a="1"/>
  <c r="H36" i="7" s="1"/>
  <c r="G36" i="7" a="1"/>
  <c r="G36" i="7" s="1"/>
  <c r="F36" i="7" a="1"/>
  <c r="F36" i="7" s="1"/>
  <c r="E36" i="7" a="1"/>
  <c r="E36" i="7" s="1"/>
  <c r="D36" i="7"/>
  <c r="D36" i="7" a="1"/>
  <c r="Q35" i="7" a="1"/>
  <c r="Q35" i="7" s="1"/>
  <c r="P35" i="7" a="1"/>
  <c r="P35" i="7" s="1"/>
  <c r="O35" i="7"/>
  <c r="O35" i="7" a="1"/>
  <c r="N35" i="7" a="1"/>
  <c r="N35" i="7" s="1"/>
  <c r="M35" i="7" a="1"/>
  <c r="M35" i="7" s="1"/>
  <c r="L35" i="7" a="1"/>
  <c r="L35" i="7" s="1"/>
  <c r="K35" i="7" a="1"/>
  <c r="K35" i="7" s="1"/>
  <c r="J35" i="7" a="1"/>
  <c r="J35" i="7" s="1"/>
  <c r="I35" i="7"/>
  <c r="I35" i="7" a="1"/>
  <c r="H35" i="7" a="1"/>
  <c r="H35" i="7" s="1"/>
  <c r="G35" i="7" a="1"/>
  <c r="G35" i="7" s="1"/>
  <c r="F35" i="7" a="1"/>
  <c r="F35" i="7" s="1"/>
  <c r="E35" i="7" a="1"/>
  <c r="E35" i="7" s="1"/>
  <c r="D35" i="7"/>
  <c r="D35" i="7" a="1"/>
  <c r="Q34" i="7"/>
  <c r="Q34" i="7" a="1"/>
  <c r="P34" i="7" a="1"/>
  <c r="P34" i="7" s="1"/>
  <c r="O34" i="7"/>
  <c r="O34" i="7" a="1"/>
  <c r="N34" i="7" a="1"/>
  <c r="N34" i="7" s="1"/>
  <c r="M34" i="7" a="1"/>
  <c r="M34" i="7" s="1"/>
  <c r="L34" i="7" a="1"/>
  <c r="L34" i="7" s="1"/>
  <c r="K34" i="7" a="1"/>
  <c r="K34" i="7" s="1"/>
  <c r="J34" i="7"/>
  <c r="J34" i="7" a="1"/>
  <c r="I34" i="7"/>
  <c r="I34" i="7" a="1"/>
  <c r="H34" i="7" a="1"/>
  <c r="H34" i="7" s="1"/>
  <c r="G34" i="7"/>
  <c r="G34" i="7" a="1"/>
  <c r="F34" i="7" a="1"/>
  <c r="F34" i="7" s="1"/>
  <c r="E34" i="7" a="1"/>
  <c r="E34" i="7" s="1"/>
  <c r="D34" i="7" a="1"/>
  <c r="D34" i="7" s="1"/>
  <c r="Q33" i="7" a="1"/>
  <c r="Q33" i="7" s="1"/>
  <c r="P33" i="7" a="1"/>
  <c r="P33" i="7" s="1"/>
  <c r="O33" i="7"/>
  <c r="O33" i="7" a="1"/>
  <c r="N33" i="7" a="1"/>
  <c r="N33" i="7" s="1"/>
  <c r="M33" i="7"/>
  <c r="M33" i="7" a="1"/>
  <c r="L33" i="7" a="1"/>
  <c r="L33" i="7" s="1"/>
  <c r="K33" i="7" a="1"/>
  <c r="K33" i="7" s="1"/>
  <c r="J33" i="7" a="1"/>
  <c r="J33" i="7" s="1"/>
  <c r="I33" i="7" a="1"/>
  <c r="I33" i="7" s="1"/>
  <c r="H33" i="7" a="1"/>
  <c r="H33" i="7" s="1"/>
  <c r="G33" i="7"/>
  <c r="G33" i="7" a="1"/>
  <c r="F33" i="7" a="1"/>
  <c r="F33" i="7" s="1"/>
  <c r="E33" i="7"/>
  <c r="E33" i="7" a="1"/>
  <c r="D33" i="7" a="1"/>
  <c r="D33" i="7" s="1"/>
  <c r="Q32" i="7" a="1"/>
  <c r="Q32" i="7" s="1"/>
  <c r="P32" i="7" a="1"/>
  <c r="P32" i="7" s="1"/>
  <c r="O32" i="7" a="1"/>
  <c r="O32" i="7" s="1"/>
  <c r="N32" i="7" a="1"/>
  <c r="N32" i="7" s="1"/>
  <c r="M32" i="7"/>
  <c r="M32" i="7" a="1"/>
  <c r="L32" i="7" a="1"/>
  <c r="L32" i="7" s="1"/>
  <c r="K32" i="7"/>
  <c r="K32" i="7" a="1"/>
  <c r="J32" i="7" a="1"/>
  <c r="J32" i="7" s="1"/>
  <c r="I32" i="7" a="1"/>
  <c r="I32" i="7" s="1"/>
  <c r="H32" i="7" a="1"/>
  <c r="H32" i="7" s="1"/>
  <c r="G32" i="7" a="1"/>
  <c r="G32" i="7" s="1"/>
  <c r="F32" i="7" a="1"/>
  <c r="F32" i="7" s="1"/>
  <c r="E32" i="7"/>
  <c r="E32" i="7" a="1"/>
  <c r="D32" i="7" a="1"/>
  <c r="D32" i="7" s="1"/>
  <c r="Q31" i="7"/>
  <c r="Q31" i="7" a="1"/>
  <c r="P31" i="7" a="1"/>
  <c r="P31" i="7" s="1"/>
  <c r="O31" i="7" a="1"/>
  <c r="O31" i="7" s="1"/>
  <c r="N31" i="7" a="1"/>
  <c r="N31" i="7" s="1"/>
  <c r="M31" i="7" a="1"/>
  <c r="M31" i="7" s="1"/>
  <c r="L31" i="7" a="1"/>
  <c r="L31" i="7" s="1"/>
  <c r="K31" i="7"/>
  <c r="K31" i="7" a="1"/>
  <c r="J31" i="7" a="1"/>
  <c r="J31" i="7" s="1"/>
  <c r="I31" i="7"/>
  <c r="I31" i="7" a="1"/>
  <c r="H31" i="7" a="1"/>
  <c r="H31" i="7" s="1"/>
  <c r="G31" i="7" a="1"/>
  <c r="G31" i="7" s="1"/>
  <c r="F31" i="7" a="1"/>
  <c r="F31" i="7" s="1"/>
  <c r="E31" i="7" a="1"/>
  <c r="E31" i="7" s="1"/>
  <c r="D31" i="7" a="1"/>
  <c r="D31" i="7" s="1"/>
  <c r="Q30" i="7"/>
  <c r="Q30" i="7" a="1"/>
  <c r="P30" i="7" a="1"/>
  <c r="P30" i="7" s="1"/>
  <c r="O30" i="7"/>
  <c r="O30" i="7" a="1"/>
  <c r="N30" i="7" a="1"/>
  <c r="N30" i="7" s="1"/>
  <c r="M30" i="7" a="1"/>
  <c r="M30" i="7" s="1"/>
  <c r="L30" i="7" a="1"/>
  <c r="L30" i="7" s="1"/>
  <c r="K30" i="7" a="1"/>
  <c r="K30" i="7" s="1"/>
  <c r="J30" i="7" a="1"/>
  <c r="J30" i="7" s="1"/>
  <c r="I30" i="7"/>
  <c r="I30" i="7" a="1"/>
  <c r="H30" i="7" a="1"/>
  <c r="H30" i="7" s="1"/>
  <c r="G30" i="7"/>
  <c r="G30" i="7" a="1"/>
  <c r="F30" i="7" a="1"/>
  <c r="F30" i="7" s="1"/>
  <c r="E30" i="7" a="1"/>
  <c r="E30" i="7" s="1"/>
  <c r="D30" i="7" a="1"/>
  <c r="D30" i="7" s="1"/>
  <c r="Q29" i="7" a="1"/>
  <c r="Q29" i="7" s="1"/>
  <c r="P29" i="7" a="1"/>
  <c r="P29" i="7" s="1"/>
  <c r="O29" i="7"/>
  <c r="O29" i="7" a="1"/>
  <c r="N29" i="7" a="1"/>
  <c r="N29" i="7" s="1"/>
  <c r="M29" i="7"/>
  <c r="M29" i="7" a="1"/>
  <c r="L29" i="7" a="1"/>
  <c r="L29" i="7" s="1"/>
  <c r="K29" i="7" a="1"/>
  <c r="K29" i="7" s="1"/>
  <c r="J29" i="7" a="1"/>
  <c r="J29" i="7" s="1"/>
  <c r="I29" i="7" a="1"/>
  <c r="I29" i="7" s="1"/>
  <c r="H29" i="7" a="1"/>
  <c r="H29" i="7" s="1"/>
  <c r="G29" i="7"/>
  <c r="G29" i="7" a="1"/>
  <c r="F29" i="7" a="1"/>
  <c r="F29" i="7" s="1"/>
  <c r="E29" i="7"/>
  <c r="E29" i="7" a="1"/>
  <c r="D29" i="7" a="1"/>
  <c r="D29" i="7" s="1"/>
  <c r="Q28" i="7" a="1"/>
  <c r="Q28" i="7" s="1"/>
  <c r="P28" i="7" a="1"/>
  <c r="P28" i="7" s="1"/>
  <c r="O28" i="7" a="1"/>
  <c r="O28" i="7" s="1"/>
  <c r="N28" i="7" a="1"/>
  <c r="N28" i="7" s="1"/>
  <c r="M28" i="7"/>
  <c r="M28" i="7" a="1"/>
  <c r="L28" i="7" a="1"/>
  <c r="L28" i="7" s="1"/>
  <c r="K28" i="7"/>
  <c r="K28" i="7" a="1"/>
  <c r="J28" i="7" a="1"/>
  <c r="J28" i="7" s="1"/>
  <c r="I28" i="7" a="1"/>
  <c r="I28" i="7" s="1"/>
  <c r="H28" i="7" a="1"/>
  <c r="H28" i="7" s="1"/>
  <c r="G28" i="7" a="1"/>
  <c r="G28" i="7" s="1"/>
  <c r="F28" i="7" a="1"/>
  <c r="F28" i="7" s="1"/>
  <c r="E28" i="7"/>
  <c r="E28" i="7" a="1"/>
  <c r="D28" i="7" a="1"/>
  <c r="D28" i="7" s="1"/>
  <c r="Q27" i="7"/>
  <c r="Q27" i="7" a="1"/>
  <c r="P27" i="7" a="1"/>
  <c r="P27" i="7" s="1"/>
  <c r="O27" i="7" a="1"/>
  <c r="O27" i="7" s="1"/>
  <c r="N27" i="7" a="1"/>
  <c r="N27" i="7" s="1"/>
  <c r="M27" i="7" a="1"/>
  <c r="M27" i="7" s="1"/>
  <c r="L27" i="7" a="1"/>
  <c r="L27" i="7" s="1"/>
  <c r="K27" i="7"/>
  <c r="K27" i="7" a="1"/>
  <c r="J27" i="7" a="1"/>
  <c r="J27" i="7" s="1"/>
  <c r="I27" i="7"/>
  <c r="I27" i="7" a="1"/>
  <c r="H27" i="7" a="1"/>
  <c r="H27" i="7" s="1"/>
  <c r="G27" i="7" a="1"/>
  <c r="G27" i="7" s="1"/>
  <c r="F27" i="7" a="1"/>
  <c r="F27" i="7" s="1"/>
  <c r="E27" i="7" a="1"/>
  <c r="E27" i="7" s="1"/>
  <c r="D27" i="7" a="1"/>
  <c r="D27" i="7" s="1"/>
  <c r="Q26" i="7"/>
  <c r="Q26" i="7" a="1"/>
  <c r="P26" i="7" a="1"/>
  <c r="P26" i="7" s="1"/>
  <c r="O26" i="7"/>
  <c r="O26" i="7" a="1"/>
  <c r="N26" i="7" a="1"/>
  <c r="N26" i="7" s="1"/>
  <c r="M26" i="7" a="1"/>
  <c r="M26" i="7" s="1"/>
  <c r="L26" i="7" a="1"/>
  <c r="L26" i="7" s="1"/>
  <c r="K26" i="7" a="1"/>
  <c r="K26" i="7" s="1"/>
  <c r="J26" i="7" a="1"/>
  <c r="J26" i="7" s="1"/>
  <c r="I26" i="7"/>
  <c r="I26" i="7" a="1"/>
  <c r="H26" i="7" a="1"/>
  <c r="H26" i="7" s="1"/>
  <c r="G26" i="7"/>
  <c r="G26" i="7" a="1"/>
  <c r="F26" i="7" a="1"/>
  <c r="F26" i="7" s="1"/>
  <c r="E26" i="7" a="1"/>
  <c r="E26" i="7" s="1"/>
  <c r="D26" i="7" a="1"/>
  <c r="D26" i="7" s="1"/>
  <c r="Q25" i="7" a="1"/>
  <c r="Q25" i="7" s="1"/>
  <c r="P25" i="7" a="1"/>
  <c r="P25" i="7" s="1"/>
  <c r="O25" i="7"/>
  <c r="O25" i="7" a="1"/>
  <c r="N25" i="7" a="1"/>
  <c r="N25" i="7" s="1"/>
  <c r="M25" i="7"/>
  <c r="M25" i="7" a="1"/>
  <c r="L25" i="7" a="1"/>
  <c r="L25" i="7" s="1"/>
  <c r="K25" i="7" a="1"/>
  <c r="K25" i="7" s="1"/>
  <c r="J25" i="7" a="1"/>
  <c r="J25" i="7" s="1"/>
  <c r="I25" i="7" a="1"/>
  <c r="I25" i="7" s="1"/>
  <c r="H25" i="7" a="1"/>
  <c r="H25" i="7" s="1"/>
  <c r="G25" i="7"/>
  <c r="G25" i="7" a="1"/>
  <c r="F25" i="7" a="1"/>
  <c r="F25" i="7" s="1"/>
  <c r="E25" i="7"/>
  <c r="E25" i="7" a="1"/>
  <c r="D25" i="7" a="1"/>
  <c r="D25" i="7" s="1"/>
  <c r="Q24" i="7" a="1"/>
  <c r="Q24" i="7" s="1"/>
  <c r="P24" i="7" a="1"/>
  <c r="P24" i="7" s="1"/>
  <c r="O24" i="7" a="1"/>
  <c r="O24" i="7" s="1"/>
  <c r="N24" i="7" a="1"/>
  <c r="N24" i="7" s="1"/>
  <c r="M24" i="7"/>
  <c r="M24" i="7" a="1"/>
  <c r="L24" i="7" a="1"/>
  <c r="L24" i="7" s="1"/>
  <c r="K24" i="7"/>
  <c r="K24" i="7" a="1"/>
  <c r="J24" i="7" a="1"/>
  <c r="J24" i="7" s="1"/>
  <c r="I24" i="7" a="1"/>
  <c r="I24" i="7" s="1"/>
  <c r="H24" i="7" a="1"/>
  <c r="H24" i="7" s="1"/>
  <c r="G24" i="7" a="1"/>
  <c r="G24" i="7" s="1"/>
  <c r="F24" i="7" a="1"/>
  <c r="F24" i="7" s="1"/>
  <c r="E24" i="7"/>
  <c r="E24" i="7" a="1"/>
  <c r="D24" i="7" a="1"/>
  <c r="D24" i="7" s="1"/>
  <c r="Q23" i="7"/>
  <c r="Q23" i="7" a="1"/>
  <c r="P23" i="7" a="1"/>
  <c r="P23" i="7" s="1"/>
  <c r="O23" i="7" a="1"/>
  <c r="O23" i="7" s="1"/>
  <c r="N23" i="7" a="1"/>
  <c r="N23" i="7" s="1"/>
  <c r="M23" i="7" a="1"/>
  <c r="M23" i="7" s="1"/>
  <c r="L23" i="7" a="1"/>
  <c r="L23" i="7" s="1"/>
  <c r="K23" i="7"/>
  <c r="K23" i="7" a="1"/>
  <c r="J23" i="7" a="1"/>
  <c r="J23" i="7" s="1"/>
  <c r="I23" i="7" a="1"/>
  <c r="I23" i="7" s="1"/>
  <c r="H23" i="7" a="1"/>
  <c r="H23" i="7" s="1"/>
  <c r="G23" i="7" a="1"/>
  <c r="G23" i="7" s="1"/>
  <c r="F23" i="7" a="1"/>
  <c r="F23" i="7" s="1"/>
  <c r="E23" i="7" a="1"/>
  <c r="E23" i="7" s="1"/>
  <c r="D23" i="7" a="1"/>
  <c r="D23" i="7" s="1"/>
  <c r="Q22" i="7"/>
  <c r="Q22" i="7" a="1"/>
  <c r="P22" i="7" a="1"/>
  <c r="P22" i="7" s="1"/>
  <c r="O22" i="7" a="1"/>
  <c r="O22" i="7" s="1"/>
  <c r="N22" i="7" a="1"/>
  <c r="N22" i="7" s="1"/>
  <c r="M22" i="7" a="1"/>
  <c r="M22" i="7" s="1"/>
  <c r="L22" i="7" a="1"/>
  <c r="L22" i="7" s="1"/>
  <c r="K22" i="7" a="1"/>
  <c r="K22" i="7" s="1"/>
  <c r="J22" i="7" a="1"/>
  <c r="J22" i="7" s="1"/>
  <c r="I22" i="7"/>
  <c r="I22" i="7" a="1"/>
  <c r="H22" i="7" a="1"/>
  <c r="H22" i="7" s="1"/>
  <c r="G22" i="7" a="1"/>
  <c r="G22" i="7" s="1"/>
  <c r="F22" i="7" a="1"/>
  <c r="F22" i="7" s="1"/>
  <c r="E22" i="7" a="1"/>
  <c r="E22" i="7" s="1"/>
  <c r="D22" i="7" a="1"/>
  <c r="D22" i="7" s="1"/>
  <c r="Q21" i="7" a="1"/>
  <c r="Q21" i="7" s="1"/>
  <c r="P21" i="7" a="1"/>
  <c r="P21" i="7" s="1"/>
  <c r="O21" i="7"/>
  <c r="O21" i="7" a="1"/>
  <c r="N21" i="7" a="1"/>
  <c r="N21" i="7" s="1"/>
  <c r="M21" i="7" a="1"/>
  <c r="M21" i="7" s="1"/>
  <c r="L21" i="7" a="1"/>
  <c r="L21" i="7" s="1"/>
  <c r="K21" i="7" a="1"/>
  <c r="K21" i="7" s="1"/>
  <c r="J21" i="7" a="1"/>
  <c r="J21" i="7" s="1"/>
  <c r="I21" i="7" a="1"/>
  <c r="I21" i="7" s="1"/>
  <c r="H21" i="7" a="1"/>
  <c r="H21" i="7" s="1"/>
  <c r="G21" i="7"/>
  <c r="G21" i="7" a="1"/>
  <c r="F21" i="7" a="1"/>
  <c r="F21" i="7" s="1"/>
  <c r="E21" i="7" a="1"/>
  <c r="E21" i="7" s="1"/>
  <c r="D21" i="7" a="1"/>
  <c r="D21" i="7" s="1"/>
  <c r="Q20" i="7" a="1"/>
  <c r="Q20" i="7" s="1"/>
  <c r="P20" i="7" a="1"/>
  <c r="P20" i="7" s="1"/>
  <c r="O20" i="7" a="1"/>
  <c r="O20" i="7" s="1"/>
  <c r="N20" i="7" a="1"/>
  <c r="N20" i="7" s="1"/>
  <c r="M20" i="7"/>
  <c r="M20" i="7" a="1"/>
  <c r="L20" i="7" a="1"/>
  <c r="L20" i="7" s="1"/>
  <c r="K20" i="7" a="1"/>
  <c r="K20" i="7" s="1"/>
  <c r="J20" i="7" a="1"/>
  <c r="J20" i="7" s="1"/>
  <c r="I20" i="7" a="1"/>
  <c r="I20" i="7" s="1"/>
  <c r="H20" i="7" a="1"/>
  <c r="H20" i="7" s="1"/>
  <c r="G20" i="7" a="1"/>
  <c r="G20" i="7" s="1"/>
  <c r="F20" i="7" a="1"/>
  <c r="F20" i="7" s="1"/>
  <c r="E20" i="7"/>
  <c r="E20" i="7" a="1"/>
  <c r="D20" i="7" a="1"/>
  <c r="D20" i="7" s="1"/>
  <c r="Q19" i="7" a="1"/>
  <c r="Q19" i="7" s="1"/>
  <c r="P19" i="7" a="1"/>
  <c r="P19" i="7" s="1"/>
  <c r="O19" i="7" a="1"/>
  <c r="O19" i="7" s="1"/>
  <c r="N19" i="7" a="1"/>
  <c r="N19" i="7" s="1"/>
  <c r="M19" i="7" a="1"/>
  <c r="M19" i="7" s="1"/>
  <c r="L19" i="7" a="1"/>
  <c r="L19" i="7" s="1"/>
  <c r="K19" i="7"/>
  <c r="K19" i="7" a="1"/>
  <c r="J19" i="7" a="1"/>
  <c r="J19" i="7" s="1"/>
  <c r="I19" i="7" a="1"/>
  <c r="I19" i="7" s="1"/>
  <c r="H19" i="7" a="1"/>
  <c r="H19" i="7" s="1"/>
  <c r="G19" i="7" a="1"/>
  <c r="G19" i="7" s="1"/>
  <c r="F19" i="7" a="1"/>
  <c r="F19" i="7" s="1"/>
  <c r="E19" i="7" a="1"/>
  <c r="E19" i="7" s="1"/>
  <c r="D19" i="7" a="1"/>
  <c r="D19" i="7" s="1"/>
  <c r="Q18" i="7"/>
  <c r="Q18" i="7" a="1"/>
  <c r="P18" i="7" a="1"/>
  <c r="P18" i="7" s="1"/>
  <c r="O18" i="7" a="1"/>
  <c r="O18" i="7" s="1"/>
  <c r="N18" i="7" a="1"/>
  <c r="N18" i="7" s="1"/>
  <c r="M18" i="7" a="1"/>
  <c r="M18" i="7" s="1"/>
  <c r="L18" i="7" a="1"/>
  <c r="L18" i="7" s="1"/>
  <c r="K18" i="7" a="1"/>
  <c r="K18" i="7" s="1"/>
  <c r="J18" i="7" a="1"/>
  <c r="J18" i="7" s="1"/>
  <c r="I18" i="7"/>
  <c r="I18" i="7" a="1"/>
  <c r="H18" i="7" a="1"/>
  <c r="H18" i="7" s="1"/>
  <c r="G18" i="7" a="1"/>
  <c r="G18" i="7" s="1"/>
  <c r="F18" i="7" a="1"/>
  <c r="F18" i="7" s="1"/>
  <c r="E18" i="7" a="1"/>
  <c r="E18" i="7" s="1"/>
  <c r="D18" i="7" a="1"/>
  <c r="D18" i="7" s="1"/>
  <c r="Q17" i="7" a="1"/>
  <c r="Q17" i="7" s="1"/>
  <c r="P17" i="7" a="1"/>
  <c r="P17" i="7" s="1"/>
  <c r="O17" i="7"/>
  <c r="O17" i="7" a="1"/>
  <c r="N17" i="7" a="1"/>
  <c r="N17" i="7" s="1"/>
  <c r="M17" i="7" a="1"/>
  <c r="M17" i="7" s="1"/>
  <c r="L17" i="7" a="1"/>
  <c r="L17" i="7" s="1"/>
  <c r="K17" i="7" a="1"/>
  <c r="K17" i="7" s="1"/>
  <c r="J17" i="7" a="1"/>
  <c r="J17" i="7" s="1"/>
  <c r="I17" i="7" a="1"/>
  <c r="I17" i="7" s="1"/>
  <c r="H17" i="7" a="1"/>
  <c r="H17" i="7" s="1"/>
  <c r="G17" i="7"/>
  <c r="G17" i="7" a="1"/>
  <c r="F17" i="7" a="1"/>
  <c r="F17" i="7" s="1"/>
  <c r="E17" i="7" a="1"/>
  <c r="E17" i="7" s="1"/>
  <c r="D17" i="7" a="1"/>
  <c r="D17" i="7" s="1"/>
  <c r="Q16" i="7" a="1"/>
  <c r="Q16" i="7" s="1"/>
  <c r="P16" i="7" a="1"/>
  <c r="P16" i="7" s="1"/>
  <c r="O16" i="7" a="1"/>
  <c r="O16" i="7" s="1"/>
  <c r="N16" i="7" a="1"/>
  <c r="N16" i="7" s="1"/>
  <c r="M16" i="7"/>
  <c r="M16" i="7" a="1"/>
  <c r="L16" i="7" a="1"/>
  <c r="L16" i="7" s="1"/>
  <c r="K16" i="7" a="1"/>
  <c r="K16" i="7" s="1"/>
  <c r="J16" i="7" a="1"/>
  <c r="J16" i="7" s="1"/>
  <c r="I16" i="7" a="1"/>
  <c r="I16" i="7" s="1"/>
  <c r="H16" i="7" a="1"/>
  <c r="H16" i="7" s="1"/>
  <c r="G16" i="7" a="1"/>
  <c r="G16" i="7" s="1"/>
  <c r="F16" i="7" a="1"/>
  <c r="F16" i="7" s="1"/>
  <c r="E16" i="7"/>
  <c r="E16" i="7" a="1"/>
  <c r="D16" i="7" a="1"/>
  <c r="D16" i="7" s="1"/>
  <c r="Q15" i="7" a="1"/>
  <c r="Q15" i="7" s="1"/>
  <c r="P15" i="7" a="1"/>
  <c r="P15" i="7" s="1"/>
  <c r="O15" i="7" a="1"/>
  <c r="O15" i="7" s="1"/>
  <c r="N15" i="7" a="1"/>
  <c r="N15" i="7" s="1"/>
  <c r="M15" i="7" a="1"/>
  <c r="M15" i="7" s="1"/>
  <c r="L15" i="7" a="1"/>
  <c r="L15" i="7" s="1"/>
  <c r="K15" i="7"/>
  <c r="K15" i="7" a="1"/>
  <c r="J15" i="7" a="1"/>
  <c r="J15" i="7" s="1"/>
  <c r="I15" i="7" a="1"/>
  <c r="I15" i="7" s="1"/>
  <c r="H15" i="7" a="1"/>
  <c r="H15" i="7" s="1"/>
  <c r="G15" i="7" a="1"/>
  <c r="G15" i="7" s="1"/>
  <c r="F15" i="7" a="1"/>
  <c r="F15" i="7" s="1"/>
  <c r="E15" i="7" a="1"/>
  <c r="E15" i="7" s="1"/>
  <c r="D15" i="7" a="1"/>
  <c r="D15" i="7" s="1"/>
  <c r="Q14" i="7" a="1"/>
  <c r="Q14" i="7" s="1"/>
  <c r="P14" i="7" a="1"/>
  <c r="P14" i="7" s="1"/>
  <c r="O14" i="7" a="1"/>
  <c r="O14" i="7" s="1"/>
  <c r="N14" i="7" a="1"/>
  <c r="N14" i="7" s="1"/>
  <c r="M14" i="7" a="1"/>
  <c r="M14" i="7" s="1"/>
  <c r="L14" i="7" a="1"/>
  <c r="L14" i="7" s="1"/>
  <c r="K14" i="7" a="1"/>
  <c r="K14" i="7" s="1"/>
  <c r="J14" i="7" a="1"/>
  <c r="J14" i="7" s="1"/>
  <c r="I14" i="7" a="1"/>
  <c r="I14" i="7" s="1"/>
  <c r="H14" i="7" a="1"/>
  <c r="H14" i="7" s="1"/>
  <c r="G14" i="7" a="1"/>
  <c r="G14" i="7" s="1"/>
  <c r="F14" i="7" a="1"/>
  <c r="F14" i="7" s="1"/>
  <c r="E14" i="7" a="1"/>
  <c r="E14" i="7" s="1"/>
  <c r="D14" i="7" a="1"/>
  <c r="D14" i="7" s="1"/>
  <c r="Q13" i="7" a="1"/>
  <c r="Q13" i="7" s="1"/>
  <c r="P13" i="7" a="1"/>
  <c r="P13" i="7" s="1"/>
  <c r="O13" i="7" a="1"/>
  <c r="O13" i="7" s="1"/>
  <c r="N13" i="7" a="1"/>
  <c r="N13" i="7" s="1"/>
  <c r="M13" i="7" a="1"/>
  <c r="M13" i="7" s="1"/>
  <c r="L13" i="7" a="1"/>
  <c r="L13" i="7" s="1"/>
  <c r="K13" i="7" a="1"/>
  <c r="K13" i="7" s="1"/>
  <c r="J13" i="7" a="1"/>
  <c r="J13" i="7" s="1"/>
  <c r="I13" i="7" a="1"/>
  <c r="I13" i="7" s="1"/>
  <c r="H13" i="7" a="1"/>
  <c r="H13" i="7" s="1"/>
  <c r="G13" i="7" a="1"/>
  <c r="G13" i="7" s="1"/>
  <c r="F13" i="7" a="1"/>
  <c r="F13" i="7" s="1"/>
  <c r="E13" i="7" a="1"/>
  <c r="E13" i="7" s="1"/>
  <c r="D13" i="7" a="1"/>
  <c r="D13" i="7" s="1"/>
  <c r="Q12" i="7" a="1"/>
  <c r="Q12" i="7" s="1"/>
  <c r="P12" i="7" a="1"/>
  <c r="P12" i="7" s="1"/>
  <c r="O12" i="7" a="1"/>
  <c r="O12" i="7" s="1"/>
  <c r="N12" i="7" a="1"/>
  <c r="N12" i="7" s="1"/>
  <c r="M12" i="7" a="1"/>
  <c r="M12" i="7" s="1"/>
  <c r="L12" i="7" a="1"/>
  <c r="L12" i="7" s="1"/>
  <c r="K12" i="7" a="1"/>
  <c r="K12" i="7" s="1"/>
  <c r="J12" i="7" a="1"/>
  <c r="J12" i="7" s="1"/>
  <c r="I12" i="7" a="1"/>
  <c r="I12" i="7" s="1"/>
  <c r="H12" i="7" a="1"/>
  <c r="H12" i="7" s="1"/>
  <c r="G12" i="7" a="1"/>
  <c r="G12" i="7" s="1"/>
  <c r="F12" i="7" a="1"/>
  <c r="F12" i="7" s="1"/>
  <c r="E12" i="7" a="1"/>
  <c r="E12" i="7" s="1"/>
  <c r="D12" i="7" a="1"/>
  <c r="D12" i="7" s="1"/>
  <c r="Q11" i="7" a="1"/>
  <c r="Q11" i="7" s="1"/>
  <c r="P11" i="7" a="1"/>
  <c r="P11" i="7" s="1"/>
  <c r="O11" i="7" a="1"/>
  <c r="O11" i="7" s="1"/>
  <c r="N11" i="7" a="1"/>
  <c r="N11" i="7" s="1"/>
  <c r="M11" i="7" a="1"/>
  <c r="M11" i="7" s="1"/>
  <c r="L11" i="7" a="1"/>
  <c r="L11" i="7" s="1"/>
  <c r="K11" i="7" a="1"/>
  <c r="K11" i="7" s="1"/>
  <c r="J11" i="7" a="1"/>
  <c r="J11" i="7" s="1"/>
  <c r="I11" i="7" a="1"/>
  <c r="I11" i="7" s="1"/>
  <c r="H11" i="7" a="1"/>
  <c r="H11" i="7" s="1"/>
  <c r="G11" i="7" a="1"/>
  <c r="G11" i="7" s="1"/>
  <c r="F11" i="7" a="1"/>
  <c r="F11" i="7" s="1"/>
  <c r="E11" i="7" a="1"/>
  <c r="E11" i="7" s="1"/>
  <c r="D11" i="7" a="1"/>
  <c r="D11" i="7" s="1"/>
  <c r="Q10" i="7" a="1"/>
  <c r="Q10" i="7" s="1"/>
  <c r="P10" i="7" a="1"/>
  <c r="P10" i="7" s="1"/>
  <c r="O10" i="7" a="1"/>
  <c r="O10" i="7" s="1"/>
  <c r="N10" i="7" a="1"/>
  <c r="N10" i="7" s="1"/>
  <c r="M10" i="7" a="1"/>
  <c r="M10" i="7" s="1"/>
  <c r="L10" i="7" a="1"/>
  <c r="L10" i="7" s="1"/>
  <c r="K10" i="7" a="1"/>
  <c r="K10" i="7" s="1"/>
  <c r="J10" i="7" a="1"/>
  <c r="J10" i="7" s="1"/>
  <c r="I10" i="7" a="1"/>
  <c r="I10" i="7" s="1"/>
  <c r="H10" i="7" a="1"/>
  <c r="H10" i="7" s="1"/>
  <c r="G10" i="7" a="1"/>
  <c r="G10" i="7" s="1"/>
  <c r="F10" i="7" a="1"/>
  <c r="F10" i="7" s="1"/>
  <c r="E10" i="7" a="1"/>
  <c r="E10" i="7" s="1"/>
  <c r="D10" i="7" a="1"/>
  <c r="D10" i="7" s="1"/>
  <c r="Q9" i="7" a="1"/>
  <c r="Q9" i="7" s="1"/>
  <c r="P9" i="7" a="1"/>
  <c r="P9" i="7" s="1"/>
  <c r="O9" i="7" a="1"/>
  <c r="O9" i="7" s="1"/>
  <c r="N9" i="7" a="1"/>
  <c r="N9" i="7" s="1"/>
  <c r="M9" i="7" a="1"/>
  <c r="M9" i="7" s="1"/>
  <c r="L9" i="7" a="1"/>
  <c r="L9" i="7" s="1"/>
  <c r="K9" i="7" a="1"/>
  <c r="K9" i="7" s="1"/>
  <c r="J9" i="7" a="1"/>
  <c r="J9" i="7" s="1"/>
  <c r="I9" i="7" a="1"/>
  <c r="I9" i="7" s="1"/>
  <c r="H9" i="7" a="1"/>
  <c r="H9" i="7" s="1"/>
  <c r="G9" i="7" a="1"/>
  <c r="G9" i="7" s="1"/>
  <c r="F9" i="7" a="1"/>
  <c r="F9" i="7" s="1"/>
  <c r="E9" i="7" a="1"/>
  <c r="E9" i="7" s="1"/>
  <c r="D9" i="7" a="1"/>
  <c r="D9" i="7" s="1"/>
  <c r="Q8" i="7" a="1"/>
  <c r="Q8" i="7" s="1"/>
  <c r="P8" i="7" a="1"/>
  <c r="P8" i="7" s="1"/>
  <c r="O8" i="7" a="1"/>
  <c r="O8" i="7" s="1"/>
  <c r="N8" i="7" a="1"/>
  <c r="N8" i="7" s="1"/>
  <c r="M8" i="7" a="1"/>
  <c r="M8" i="7" s="1"/>
  <c r="L8" i="7" a="1"/>
  <c r="L8" i="7" s="1"/>
  <c r="K8" i="7" a="1"/>
  <c r="K8" i="7" s="1"/>
  <c r="J8" i="7" a="1"/>
  <c r="J8" i="7" s="1"/>
  <c r="I8" i="7" a="1"/>
  <c r="I8" i="7" s="1"/>
  <c r="H8" i="7" a="1"/>
  <c r="H8" i="7" s="1"/>
  <c r="G8" i="7" a="1"/>
  <c r="G8" i="7" s="1"/>
  <c r="F8" i="7" a="1"/>
  <c r="F8" i="7" s="1"/>
  <c r="E8" i="7" a="1"/>
  <c r="E8" i="7" s="1"/>
  <c r="D8" i="7" a="1"/>
  <c r="D8" i="7" s="1"/>
  <c r="Q7" i="7" a="1"/>
  <c r="Q7" i="7" s="1"/>
  <c r="P7" i="7" a="1"/>
  <c r="P7" i="7" s="1"/>
  <c r="O7" i="7" a="1"/>
  <c r="O7" i="7" s="1"/>
  <c r="N7" i="7" a="1"/>
  <c r="N7" i="7" s="1"/>
  <c r="M7" i="7" a="1"/>
  <c r="M7" i="7" s="1"/>
  <c r="L7" i="7" a="1"/>
  <c r="L7" i="7" s="1"/>
  <c r="K7" i="7" a="1"/>
  <c r="K7" i="7" s="1"/>
  <c r="J7" i="7" a="1"/>
  <c r="J7" i="7" s="1"/>
  <c r="I7" i="7" a="1"/>
  <c r="I7" i="7" s="1"/>
  <c r="H7" i="7" a="1"/>
  <c r="H7" i="7" s="1"/>
  <c r="G7" i="7" a="1"/>
  <c r="G7" i="7" s="1"/>
  <c r="F7" i="7" a="1"/>
  <c r="F7" i="7" s="1"/>
  <c r="E7" i="7" a="1"/>
  <c r="E7" i="7" s="1"/>
  <c r="D7" i="7" a="1"/>
  <c r="D7" i="7" s="1"/>
  <c r="Q6" i="7" a="1"/>
  <c r="Q6" i="7" s="1"/>
  <c r="P6" i="7" a="1"/>
  <c r="P6" i="7" s="1"/>
  <c r="O6" i="7" a="1"/>
  <c r="O6" i="7" s="1"/>
  <c r="N6" i="7" a="1"/>
  <c r="N6" i="7" s="1"/>
  <c r="M6" i="7" a="1"/>
  <c r="M6" i="7" s="1"/>
  <c r="L6" i="7" a="1"/>
  <c r="L6" i="7" s="1"/>
  <c r="K6" i="7" a="1"/>
  <c r="K6" i="7" s="1"/>
  <c r="J6" i="7" a="1"/>
  <c r="J6" i="7" s="1"/>
  <c r="I6" i="7" a="1"/>
  <c r="I6" i="7" s="1"/>
  <c r="H6" i="7" a="1"/>
  <c r="H6" i="7" s="1"/>
  <c r="G6" i="7" a="1"/>
  <c r="G6" i="7" s="1"/>
  <c r="F6" i="7" a="1"/>
  <c r="F6" i="7" s="1"/>
  <c r="E6" i="7" a="1"/>
  <c r="E6" i="7" s="1"/>
  <c r="D6" i="7" a="1"/>
  <c r="D6" i="7" s="1"/>
  <c r="Q5" i="7" a="1"/>
  <c r="Q5" i="7" s="1"/>
  <c r="P5" i="7" a="1"/>
  <c r="P5" i="7" s="1"/>
  <c r="O5" i="7" a="1"/>
  <c r="O5" i="7" s="1"/>
  <c r="N5" i="7" a="1"/>
  <c r="N5" i="7" s="1"/>
  <c r="M5" i="7" a="1"/>
  <c r="M5" i="7" s="1"/>
  <c r="L5" i="7" a="1"/>
  <c r="L5" i="7" s="1"/>
  <c r="K5" i="7" a="1"/>
  <c r="K5" i="7" s="1"/>
  <c r="J5" i="7" a="1"/>
  <c r="J5" i="7" s="1"/>
  <c r="I5" i="7" a="1"/>
  <c r="I5" i="7" s="1"/>
  <c r="H5" i="7" a="1"/>
  <c r="H5" i="7" s="1"/>
  <c r="G5" i="7" a="1"/>
  <c r="G5" i="7" s="1"/>
  <c r="F5" i="7" a="1"/>
  <c r="F5" i="7" s="1"/>
  <c r="E5" i="7" a="1"/>
  <c r="E5" i="7" s="1"/>
  <c r="D5" i="7" a="1"/>
  <c r="D5" i="7" s="1"/>
  <c r="Q4" i="7" a="1"/>
  <c r="Q4" i="7" s="1"/>
  <c r="P4" i="7" a="1"/>
  <c r="P4" i="7" s="1"/>
  <c r="O4" i="7" a="1"/>
  <c r="O4" i="7" s="1"/>
  <c r="N4" i="7" a="1"/>
  <c r="N4" i="7" s="1"/>
  <c r="M4" i="7" a="1"/>
  <c r="M4" i="7" s="1"/>
  <c r="L4" i="7" a="1"/>
  <c r="L4" i="7" s="1"/>
  <c r="K4" i="7" a="1"/>
  <c r="K4" i="7" s="1"/>
  <c r="J4" i="7" a="1"/>
  <c r="J4" i="7" s="1"/>
  <c r="I4" i="7" a="1"/>
  <c r="I4" i="7" s="1"/>
  <c r="H4" i="7" a="1"/>
  <c r="H4" i="7" s="1"/>
  <c r="G4" i="7" a="1"/>
  <c r="G4" i="7" s="1"/>
  <c r="F4" i="7" a="1"/>
  <c r="F4" i="7" s="1"/>
  <c r="E4" i="7" a="1"/>
  <c r="E4" i="7" s="1"/>
  <c r="D4" i="7" a="1"/>
  <c r="D4" i="7" s="1"/>
  <c r="Q3" i="7" a="1"/>
  <c r="Q3" i="7" s="1"/>
  <c r="P3" i="7" a="1"/>
  <c r="P3" i="7" s="1"/>
  <c r="O3" i="7" a="1"/>
  <c r="O3" i="7" s="1"/>
  <c r="N3" i="7" a="1"/>
  <c r="N3" i="7" s="1"/>
  <c r="M3" i="7" a="1"/>
  <c r="M3" i="7" s="1"/>
  <c r="L3" i="7" a="1"/>
  <c r="L3" i="7" s="1"/>
  <c r="K3" i="7" a="1"/>
  <c r="K3" i="7" s="1"/>
  <c r="J3" i="7" a="1"/>
  <c r="J3" i="7" s="1"/>
  <c r="I3" i="7" a="1"/>
  <c r="I3" i="7" s="1"/>
  <c r="H3" i="7" a="1"/>
  <c r="H3" i="7" s="1"/>
  <c r="G3" i="7" a="1"/>
  <c r="G3" i="7" s="1"/>
  <c r="F3" i="7" a="1"/>
  <c r="F3" i="7" s="1"/>
  <c r="E3" i="7" a="1"/>
  <c r="E3" i="7" s="1"/>
  <c r="D3" i="7" a="1"/>
  <c r="D3" i="7" s="1"/>
  <c r="Q2" i="7" a="1"/>
  <c r="Q2" i="7" s="1"/>
  <c r="P2" i="7" a="1"/>
  <c r="P2" i="7" s="1"/>
  <c r="O2" i="7" a="1"/>
  <c r="O2" i="7" s="1"/>
  <c r="N2" i="7" a="1"/>
  <c r="N2" i="7" s="1"/>
  <c r="M2" i="7" a="1"/>
  <c r="M2" i="7" s="1"/>
  <c r="L2" i="7" a="1"/>
  <c r="L2" i="7" s="1"/>
  <c r="K2" i="7" a="1"/>
  <c r="K2" i="7" s="1"/>
  <c r="J2" i="7" a="1"/>
  <c r="J2" i="7" s="1"/>
  <c r="I2" i="7" a="1"/>
  <c r="I2" i="7" s="1"/>
  <c r="H2" i="7" a="1"/>
  <c r="H2" i="7" s="1"/>
  <c r="G2" i="7" a="1"/>
  <c r="G2" i="7" s="1"/>
  <c r="F2" i="7" a="1"/>
  <c r="F2" i="7" s="1"/>
  <c r="E2" i="7" a="1"/>
  <c r="E2" i="7" s="1"/>
  <c r="D2" i="7" a="1"/>
  <c r="D2" i="7" s="1"/>
  <c r="J16" i="6"/>
  <c r="J3" i="6"/>
  <c r="J2" i="6"/>
  <c r="K16" i="1"/>
  <c r="K3" i="1"/>
  <c r="K2" i="1"/>
  <c r="K1" i="17"/>
  <c r="J1" i="17"/>
  <c r="I1" i="17"/>
  <c r="H1" i="17"/>
  <c r="G1" i="17"/>
  <c r="F1" i="17"/>
  <c r="E1" i="17"/>
  <c r="D1" i="17"/>
  <c r="J1" i="16"/>
  <c r="I1" i="16"/>
  <c r="H1" i="16"/>
  <c r="G1" i="16"/>
  <c r="F1" i="16"/>
  <c r="E1" i="16"/>
  <c r="D1" i="16"/>
  <c r="Q1" i="15"/>
  <c r="P1" i="15"/>
  <c r="O1" i="15"/>
  <c r="N1" i="15"/>
  <c r="M1" i="15"/>
  <c r="L1" i="15"/>
  <c r="K1" i="15"/>
  <c r="J1" i="15"/>
  <c r="I1" i="15"/>
  <c r="H1" i="15"/>
  <c r="G1" i="15"/>
  <c r="F1" i="15"/>
  <c r="E1" i="15"/>
  <c r="D1" i="15"/>
  <c r="K1" i="14" l="1"/>
  <c r="J1" i="14"/>
  <c r="I1" i="14"/>
  <c r="H1" i="14"/>
  <c r="G1" i="14"/>
  <c r="F1" i="14"/>
  <c r="E1" i="14"/>
  <c r="D1" i="14"/>
  <c r="J1" i="13"/>
  <c r="I1" i="13"/>
  <c r="H1" i="13"/>
  <c r="G1" i="13"/>
  <c r="F1" i="13"/>
  <c r="E1" i="13"/>
  <c r="D1" i="13"/>
  <c r="F28" i="3" l="1"/>
  <c r="F27" i="3"/>
  <c r="F26" i="3"/>
  <c r="F25" i="3"/>
  <c r="F24" i="3"/>
  <c r="F23" i="3"/>
  <c r="F22" i="3"/>
  <c r="F21" i="3"/>
  <c r="F20" i="3"/>
  <c r="F19" i="3"/>
  <c r="F18" i="3"/>
  <c r="F17" i="3"/>
  <c r="F15" i="3"/>
  <c r="F14" i="3"/>
  <c r="F13" i="3"/>
  <c r="F12" i="3"/>
  <c r="F11" i="3"/>
  <c r="F10" i="3"/>
  <c r="F9" i="3"/>
  <c r="F8" i="3"/>
  <c r="F7" i="3"/>
  <c r="F6" i="3"/>
  <c r="F5" i="3"/>
  <c r="F4" i="3"/>
  <c r="F2" i="3"/>
  <c r="K28" i="1"/>
  <c r="D2" i="5"/>
  <c r="F5" i="5"/>
  <c r="H5" i="5"/>
  <c r="D5" i="5"/>
  <c r="F2" i="5"/>
  <c r="F3" i="5"/>
  <c r="H4" i="5"/>
  <c r="D4" i="5"/>
  <c r="D3" i="5"/>
  <c r="H3" i="5"/>
  <c r="H2" i="5"/>
  <c r="J1" i="11"/>
  <c r="I1" i="11"/>
  <c r="H1" i="11"/>
  <c r="G1" i="11"/>
  <c r="F1" i="11"/>
  <c r="E1" i="11"/>
  <c r="D1" i="11"/>
  <c r="K1" i="11"/>
  <c r="G28" i="3"/>
  <c r="G27" i="3"/>
  <c r="O58" i="6"/>
  <c r="N58" i="6"/>
  <c r="Q28" i="6"/>
  <c r="K28" i="6"/>
  <c r="I28" i="6"/>
  <c r="G28" i="6"/>
  <c r="F28" i="6"/>
  <c r="M28" i="6" s="1"/>
  <c r="E28" i="6"/>
  <c r="N28" i="6" s="1"/>
  <c r="C28" i="6"/>
  <c r="L28" i="6" s="1"/>
  <c r="P28" i="6" s="1"/>
  <c r="B28" i="6"/>
  <c r="A28" i="6"/>
  <c r="N28" i="1"/>
  <c r="J17" i="6"/>
  <c r="K17" i="1"/>
  <c r="O28" i="6" l="1"/>
  <c r="G26" i="3"/>
  <c r="J5" i="6"/>
  <c r="J4" i="6"/>
  <c r="J26" i="6" l="1"/>
  <c r="K26" i="6" s="1"/>
  <c r="K26" i="1"/>
  <c r="J27" i="6"/>
  <c r="Q27" i="6" s="1"/>
  <c r="O57" i="6" s="1"/>
  <c r="N56" i="6"/>
  <c r="I27" i="6"/>
  <c r="G27" i="6"/>
  <c r="N57" i="6" s="1"/>
  <c r="F27" i="6"/>
  <c r="M27" i="6" s="1"/>
  <c r="E27" i="6"/>
  <c r="C27" i="6"/>
  <c r="L27" i="6" s="1"/>
  <c r="P27" i="6" s="1"/>
  <c r="B27" i="6"/>
  <c r="A27" i="6"/>
  <c r="N26" i="6"/>
  <c r="M26" i="6"/>
  <c r="I26" i="6"/>
  <c r="G26" i="6"/>
  <c r="F26" i="6"/>
  <c r="E26" i="6"/>
  <c r="C26" i="6"/>
  <c r="L26" i="6" s="1"/>
  <c r="P26" i="6" s="1"/>
  <c r="B26" i="6"/>
  <c r="A26" i="6"/>
  <c r="K22" i="1"/>
  <c r="K21" i="1"/>
  <c r="K23" i="1"/>
  <c r="N27" i="6" l="1"/>
  <c r="K27" i="6"/>
  <c r="O27" i="6" s="1"/>
  <c r="O26" i="6"/>
  <c r="Q26" i="6"/>
  <c r="O56" i="6" s="1"/>
  <c r="K5" i="1"/>
  <c r="K4" i="1"/>
  <c r="K18" i="1" l="1"/>
  <c r="K9" i="1"/>
  <c r="K10" i="1"/>
  <c r="K12" i="1"/>
  <c r="K14" i="1"/>
  <c r="K13" i="1"/>
  <c r="K15" i="1"/>
  <c r="K25" i="1"/>
  <c r="K24" i="1"/>
  <c r="Q25" i="6"/>
  <c r="Q24" i="6"/>
  <c r="O54" i="6" s="1"/>
  <c r="Q18" i="6"/>
  <c r="Q15" i="6"/>
  <c r="O45" i="6" s="1"/>
  <c r="Q14" i="6"/>
  <c r="Q13" i="6"/>
  <c r="Q12" i="6"/>
  <c r="O42" i="6" s="1"/>
  <c r="O55" i="6"/>
  <c r="N55" i="6"/>
  <c r="N54" i="6"/>
  <c r="N48" i="6"/>
  <c r="N45" i="6"/>
  <c r="O44" i="6"/>
  <c r="N44" i="6"/>
  <c r="O43" i="6"/>
  <c r="N43" i="6"/>
  <c r="N42" i="6"/>
  <c r="N40" i="6"/>
  <c r="N39" i="6"/>
  <c r="N37" i="6"/>
  <c r="N36" i="6"/>
  <c r="O25" i="6"/>
  <c r="O24" i="6"/>
  <c r="O15" i="6"/>
  <c r="O14" i="6"/>
  <c r="O13" i="6"/>
  <c r="O12" i="6"/>
  <c r="K25" i="6"/>
  <c r="K24" i="6"/>
  <c r="K15" i="6"/>
  <c r="K14" i="6"/>
  <c r="K13" i="6"/>
  <c r="K12" i="6"/>
  <c r="J25" i="6"/>
  <c r="J24" i="6"/>
  <c r="J23" i="6"/>
  <c r="J22" i="6"/>
  <c r="J21" i="6"/>
  <c r="J20" i="6"/>
  <c r="J18" i="6"/>
  <c r="K18" i="6" s="1"/>
  <c r="O18" i="6" s="1"/>
  <c r="J15" i="6"/>
  <c r="J14" i="6"/>
  <c r="J13" i="6"/>
  <c r="J12" i="6"/>
  <c r="J10" i="6"/>
  <c r="J9" i="6"/>
  <c r="K9" i="6" s="1"/>
  <c r="J8" i="6"/>
  <c r="J7" i="6"/>
  <c r="K7" i="6" s="1"/>
  <c r="J6" i="6"/>
  <c r="K6" i="6" s="1"/>
  <c r="O48" i="6" l="1"/>
  <c r="K10" i="6"/>
  <c r="G25" i="3"/>
  <c r="G22" i="3"/>
  <c r="G21" i="3"/>
  <c r="G18" i="3"/>
  <c r="G17" i="3"/>
  <c r="G15" i="3"/>
  <c r="G14" i="3"/>
  <c r="G13" i="3"/>
  <c r="G11" i="3"/>
  <c r="G10" i="3"/>
  <c r="G9" i="3"/>
  <c r="G8" i="3"/>
  <c r="G7" i="3"/>
  <c r="G6" i="3"/>
  <c r="G4" i="3"/>
  <c r="G3" i="3"/>
  <c r="F3" i="3"/>
  <c r="J1" i="10"/>
  <c r="I1" i="10"/>
  <c r="H1" i="10"/>
  <c r="G1" i="10"/>
  <c r="F1" i="10"/>
  <c r="E1" i="10"/>
  <c r="D1" i="10"/>
  <c r="K27" i="1" l="1"/>
  <c r="K19" i="1" l="1"/>
  <c r="N27" i="1" l="1"/>
  <c r="N26" i="1"/>
  <c r="N25" i="1"/>
  <c r="N24" i="1"/>
  <c r="N23" i="1"/>
  <c r="N22" i="1"/>
  <c r="N21" i="1"/>
  <c r="N20" i="1"/>
  <c r="N19" i="1"/>
  <c r="N18" i="1"/>
  <c r="N17" i="1"/>
  <c r="N16" i="1"/>
  <c r="N15" i="1"/>
  <c r="N14" i="1"/>
  <c r="N13" i="1"/>
  <c r="N12" i="1"/>
  <c r="N11" i="1"/>
  <c r="N10" i="1"/>
  <c r="N9" i="1"/>
  <c r="N8" i="1"/>
  <c r="N7" i="1"/>
  <c r="N6" i="1"/>
  <c r="N5" i="1"/>
  <c r="N4" i="1"/>
  <c r="N3" i="1"/>
  <c r="N2" i="1"/>
  <c r="V1" i="7"/>
  <c r="U1" i="7"/>
  <c r="T1" i="7"/>
  <c r="S1" i="7"/>
  <c r="R1" i="7"/>
  <c r="Q1" i="7"/>
  <c r="P1" i="7"/>
  <c r="O1" i="7"/>
  <c r="N1" i="7"/>
  <c r="M1" i="7"/>
  <c r="L1" i="7"/>
  <c r="K1" i="7"/>
  <c r="J1" i="7"/>
  <c r="I1" i="7"/>
  <c r="H1" i="7"/>
  <c r="G1" i="7"/>
  <c r="F1" i="7"/>
  <c r="E1" i="7"/>
  <c r="D1" i="7"/>
  <c r="K6" i="1" l="1"/>
  <c r="K7" i="1"/>
  <c r="K8" i="1"/>
  <c r="K11" i="1"/>
  <c r="K20" i="1"/>
  <c r="C25" i="6" l="1"/>
  <c r="C24" i="6"/>
  <c r="C23" i="6"/>
  <c r="C22" i="6"/>
  <c r="C21" i="6"/>
  <c r="C20" i="6"/>
  <c r="Q20" i="6" s="1"/>
  <c r="O50" i="6" s="1"/>
  <c r="C19" i="6"/>
  <c r="C18" i="6"/>
  <c r="C17" i="6"/>
  <c r="C16" i="6"/>
  <c r="C15" i="6"/>
  <c r="C14" i="6"/>
  <c r="C13" i="6"/>
  <c r="C12" i="6"/>
  <c r="C11" i="6"/>
  <c r="C10" i="6"/>
  <c r="C9" i="6"/>
  <c r="C8" i="6"/>
  <c r="C7" i="6"/>
  <c r="C6" i="6"/>
  <c r="C5" i="6"/>
  <c r="C4" i="6"/>
  <c r="C3" i="6"/>
  <c r="C2" i="6"/>
  <c r="C1" i="6"/>
  <c r="B25" i="6"/>
  <c r="B24" i="6"/>
  <c r="B23" i="6"/>
  <c r="B22" i="6"/>
  <c r="B21" i="6"/>
  <c r="B20" i="6"/>
  <c r="B19" i="6"/>
  <c r="B18" i="6"/>
  <c r="B17" i="6"/>
  <c r="B16" i="6"/>
  <c r="B15" i="6"/>
  <c r="B14" i="6"/>
  <c r="B13" i="6"/>
  <c r="B12" i="6"/>
  <c r="B11" i="6"/>
  <c r="B10" i="6"/>
  <c r="B9" i="6"/>
  <c r="B8" i="6"/>
  <c r="B7" i="6"/>
  <c r="B6" i="6"/>
  <c r="B5" i="6"/>
  <c r="B4" i="6"/>
  <c r="B3" i="6"/>
  <c r="B2" i="6"/>
  <c r="B1" i="6"/>
  <c r="A25" i="6"/>
  <c r="A24" i="6"/>
  <c r="A23" i="6"/>
  <c r="A22" i="6"/>
  <c r="A21" i="6"/>
  <c r="A20" i="6"/>
  <c r="A19" i="6"/>
  <c r="A18" i="6"/>
  <c r="A17" i="6"/>
  <c r="A16" i="6"/>
  <c r="A15" i="6"/>
  <c r="A14" i="6"/>
  <c r="A13" i="6"/>
  <c r="A12" i="6"/>
  <c r="A11" i="6"/>
  <c r="A10" i="6"/>
  <c r="A9" i="6"/>
  <c r="A8" i="6"/>
  <c r="A7" i="6"/>
  <c r="A6" i="6"/>
  <c r="A5" i="6"/>
  <c r="A4" i="6"/>
  <c r="A3" i="6"/>
  <c r="A2" i="6"/>
  <c r="A1" i="6"/>
  <c r="I25" i="6"/>
  <c r="G25" i="6"/>
  <c r="F25" i="6"/>
  <c r="E25" i="6"/>
  <c r="I24" i="6"/>
  <c r="G24" i="6"/>
  <c r="F24" i="6"/>
  <c r="E24" i="6"/>
  <c r="I23" i="6"/>
  <c r="G23" i="6"/>
  <c r="F23" i="6"/>
  <c r="E23" i="6"/>
  <c r="I22" i="6"/>
  <c r="G22" i="6"/>
  <c r="F22" i="6"/>
  <c r="Q22" i="6" s="1"/>
  <c r="O52" i="6" s="1"/>
  <c r="E22" i="6"/>
  <c r="I21" i="6"/>
  <c r="G21" i="6"/>
  <c r="F21" i="6"/>
  <c r="Q21" i="6" s="1"/>
  <c r="O51" i="6" s="1"/>
  <c r="E21" i="6"/>
  <c r="I20" i="6"/>
  <c r="G20" i="6"/>
  <c r="F20" i="6"/>
  <c r="E20" i="6"/>
  <c r="I19" i="6"/>
  <c r="G19" i="6"/>
  <c r="F19" i="6"/>
  <c r="E19" i="6"/>
  <c r="I18" i="6"/>
  <c r="G18" i="6"/>
  <c r="F18" i="6"/>
  <c r="E18" i="6"/>
  <c r="I17" i="6"/>
  <c r="G17" i="6"/>
  <c r="F17" i="6"/>
  <c r="E17" i="6"/>
  <c r="I16" i="6"/>
  <c r="G16" i="6"/>
  <c r="F16" i="6"/>
  <c r="E16" i="6"/>
  <c r="I15" i="6"/>
  <c r="G15" i="6"/>
  <c r="F15" i="6"/>
  <c r="E15" i="6"/>
  <c r="I14" i="6"/>
  <c r="G14" i="6"/>
  <c r="F14" i="6"/>
  <c r="E14" i="6"/>
  <c r="I13" i="6"/>
  <c r="G13" i="6"/>
  <c r="F13" i="6"/>
  <c r="E13" i="6"/>
  <c r="I12" i="6"/>
  <c r="G12" i="6"/>
  <c r="F12" i="6"/>
  <c r="E12" i="6"/>
  <c r="I11" i="6"/>
  <c r="G11" i="6"/>
  <c r="F11" i="6"/>
  <c r="E11" i="6"/>
  <c r="I10" i="6"/>
  <c r="G10" i="6"/>
  <c r="F10" i="6"/>
  <c r="E10" i="6"/>
  <c r="Q10" i="6" s="1"/>
  <c r="O40" i="6" s="1"/>
  <c r="I9" i="6"/>
  <c r="G9" i="6"/>
  <c r="F9" i="6"/>
  <c r="E9" i="6"/>
  <c r="Q9" i="6" s="1"/>
  <c r="O39" i="6" s="1"/>
  <c r="I8" i="6"/>
  <c r="G8" i="6"/>
  <c r="F8" i="6"/>
  <c r="E8" i="6"/>
  <c r="I7" i="6"/>
  <c r="G7" i="6"/>
  <c r="F7" i="6"/>
  <c r="Q7" i="6" s="1"/>
  <c r="O37" i="6" s="1"/>
  <c r="E7" i="6"/>
  <c r="I6" i="6"/>
  <c r="G6" i="6"/>
  <c r="F6" i="6"/>
  <c r="Q6" i="6" s="1"/>
  <c r="O36" i="6" s="1"/>
  <c r="E6" i="6"/>
  <c r="I5" i="6"/>
  <c r="G5" i="6"/>
  <c r="F5" i="6"/>
  <c r="E5" i="6"/>
  <c r="I4" i="6"/>
  <c r="G4" i="6"/>
  <c r="F4" i="6"/>
  <c r="E4" i="6"/>
  <c r="Q4" i="6" s="1"/>
  <c r="O34" i="6" s="1"/>
  <c r="I3" i="6"/>
  <c r="G3" i="6"/>
  <c r="F3" i="6"/>
  <c r="Q3" i="6" s="1"/>
  <c r="O33" i="6" s="1"/>
  <c r="E3" i="6"/>
  <c r="I2" i="6"/>
  <c r="G2" i="6"/>
  <c r="F2" i="6"/>
  <c r="Q2" i="6" s="1"/>
  <c r="O32" i="6" s="1"/>
  <c r="E2" i="6"/>
  <c r="I1" i="6"/>
  <c r="G1" i="6"/>
  <c r="F1" i="6"/>
  <c r="E1" i="6"/>
  <c r="N50" i="6" l="1"/>
  <c r="K20" i="6"/>
  <c r="N49" i="6"/>
  <c r="K19" i="6"/>
  <c r="Q19" i="6"/>
  <c r="O49" i="6" s="1"/>
  <c r="Q17" i="6"/>
  <c r="O47" i="6" s="1"/>
  <c r="N47" i="6"/>
  <c r="K17" i="6"/>
  <c r="Q8" i="6"/>
  <c r="O38" i="6" s="1"/>
  <c r="N38" i="6"/>
  <c r="K8" i="6"/>
  <c r="K22" i="6"/>
  <c r="N52" i="6"/>
  <c r="Q23" i="6"/>
  <c r="O53" i="6" s="1"/>
  <c r="N53" i="6"/>
  <c r="K23" i="6"/>
  <c r="N51" i="6"/>
  <c r="K21" i="6"/>
  <c r="Q5" i="6"/>
  <c r="O35" i="6" s="1"/>
  <c r="Q16" i="6"/>
  <c r="O46" i="6" s="1"/>
  <c r="N35" i="6"/>
  <c r="K5" i="6"/>
  <c r="N34" i="6"/>
  <c r="K4" i="6"/>
  <c r="Q11" i="6"/>
  <c r="O41" i="6" s="1"/>
  <c r="K11" i="6"/>
  <c r="N41" i="6"/>
  <c r="K16" i="6"/>
  <c r="N46" i="6"/>
  <c r="N33" i="6"/>
  <c r="K3" i="6"/>
  <c r="K2" i="6"/>
  <c r="N32" i="6"/>
  <c r="M5" i="6"/>
  <c r="M8" i="6"/>
  <c r="M12" i="6"/>
  <c r="M20" i="6"/>
  <c r="N5" i="6"/>
  <c r="N8" i="6"/>
  <c r="N12" i="6"/>
  <c r="N20" i="6"/>
  <c r="N24" i="6"/>
  <c r="L5" i="6"/>
  <c r="N3" i="6"/>
  <c r="N14" i="6"/>
  <c r="N18" i="6"/>
  <c r="N22" i="6"/>
  <c r="L12" i="6"/>
  <c r="P12" i="6" s="1"/>
  <c r="M3" i="6"/>
  <c r="M14" i="6"/>
  <c r="M18" i="6"/>
  <c r="M22" i="6"/>
  <c r="N4" i="6"/>
  <c r="N7" i="6"/>
  <c r="N15" i="6"/>
  <c r="N19" i="6"/>
  <c r="N23" i="6"/>
  <c r="M4" i="6"/>
  <c r="M7" i="6"/>
  <c r="O7" i="6" s="1"/>
  <c r="M15" i="6"/>
  <c r="M19" i="6"/>
  <c r="M23" i="6"/>
  <c r="L14" i="6"/>
  <c r="L20" i="6"/>
  <c r="O20" i="6" s="1"/>
  <c r="M24" i="6"/>
  <c r="N2" i="6"/>
  <c r="N6" i="6"/>
  <c r="N13" i="6"/>
  <c r="N21" i="6"/>
  <c r="N25" i="6"/>
  <c r="L8" i="6"/>
  <c r="L24" i="6"/>
  <c r="M2" i="6"/>
  <c r="M6" i="6"/>
  <c r="O6" i="6" s="1"/>
  <c r="M13" i="6"/>
  <c r="M21" i="6"/>
  <c r="M25" i="6"/>
  <c r="L25" i="6"/>
  <c r="P25" i="6" s="1"/>
  <c r="L6" i="6"/>
  <c r="L21" i="6"/>
  <c r="L15" i="6"/>
  <c r="N11" i="6"/>
  <c r="M11" i="6"/>
  <c r="M9" i="6"/>
  <c r="L10" i="6"/>
  <c r="N10" i="6"/>
  <c r="O10" i="6" s="1"/>
  <c r="M10" i="6"/>
  <c r="N9" i="6"/>
  <c r="O9" i="6" s="1"/>
  <c r="L9" i="6"/>
  <c r="L4" i="6"/>
  <c r="L19" i="6"/>
  <c r="N16" i="6"/>
  <c r="L22" i="6"/>
  <c r="L7" i="6"/>
  <c r="L23" i="6"/>
  <c r="L2" i="6"/>
  <c r="L13" i="6"/>
  <c r="L17" i="6"/>
  <c r="L11" i="6"/>
  <c r="L3" i="6"/>
  <c r="L18" i="6"/>
  <c r="M16" i="6"/>
  <c r="L16" i="6"/>
  <c r="N17" i="6"/>
  <c r="M17" i="6"/>
  <c r="O19" i="6" l="1"/>
  <c r="O17" i="6"/>
  <c r="O8" i="6"/>
  <c r="O22" i="6"/>
  <c r="O23" i="6"/>
  <c r="O21" i="6"/>
  <c r="O5" i="6"/>
  <c r="O4" i="6"/>
  <c r="O11" i="6"/>
  <c r="O16" i="6"/>
  <c r="O3" i="6"/>
  <c r="O2" i="6"/>
  <c r="P7" i="6"/>
  <c r="P15" i="6"/>
  <c r="P20" i="6"/>
  <c r="P4" i="6"/>
  <c r="P23" i="6"/>
  <c r="P5" i="6"/>
  <c r="P8" i="6"/>
  <c r="P22" i="6"/>
  <c r="P14" i="6"/>
  <c r="P24" i="6"/>
  <c r="P19" i="6"/>
  <c r="P6" i="6"/>
  <c r="P21" i="6"/>
  <c r="P2" i="6"/>
  <c r="P10" i="6"/>
  <c r="P11" i="6"/>
  <c r="P9" i="6"/>
  <c r="P13" i="6"/>
  <c r="P16" i="6"/>
  <c r="P18" i="6"/>
  <c r="P3" i="6"/>
  <c r="P17"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<sst xmlns="http://schemas.openxmlformats.org/spreadsheetml/2006/main" count="658" uniqueCount="327">
  <si>
    <t>Title</t>
  </si>
  <si>
    <t>Description</t>
  </si>
  <si>
    <t>ShoreAttack</t>
  </si>
  <si>
    <t>Defense</t>
  </si>
  <si>
    <t>Duplication</t>
  </si>
  <si>
    <t>Type</t>
  </si>
  <si>
    <t>Tactic</t>
  </si>
  <si>
    <t>AV-8B Harrier II</t>
  </si>
  <si>
    <t>Scuttlebutt</t>
  </si>
  <si>
    <t>KH-11 Key Hole</t>
  </si>
  <si>
    <t>Semper Fidelis</t>
  </si>
  <si>
    <t>Strategy</t>
  </si>
  <si>
    <t>NATO Allies</t>
  </si>
  <si>
    <t>The Long Winter</t>
  </si>
  <si>
    <t>Disinformation Campaigns</t>
  </si>
  <si>
    <t>The Russians Used a Pencil</t>
  </si>
  <si>
    <t>Submarine</t>
  </si>
  <si>
    <t>Logistics</t>
  </si>
  <si>
    <t>Ship</t>
  </si>
  <si>
    <t>F-35B Lightning II</t>
  </si>
  <si>
    <t>F-35C  Lightning II</t>
  </si>
  <si>
    <t>Roster</t>
  </si>
  <si>
    <t>USN</t>
  </si>
  <si>
    <t>Rosters</t>
  </si>
  <si>
    <t>RUS</t>
  </si>
  <si>
    <t>Attack</t>
  </si>
  <si>
    <t>LogisticsCapacity</t>
  </si>
  <si>
    <t>ShoreDefense</t>
  </si>
  <si>
    <t>Naval Station Norfolk</t>
  </si>
  <si>
    <t>Joint Base Pearl Harbor</t>
  </si>
  <si>
    <t>Naval Air Station Jacksonville</t>
  </si>
  <si>
    <t>Naval Base San Diego</t>
  </si>
  <si>
    <t>Naval Station Mayport</t>
  </si>
  <si>
    <t>Naval Air Station Corpus Christi</t>
  </si>
  <si>
    <t>Naval Air Station Joint Reserve Base Fort Worth</t>
  </si>
  <si>
    <t>Naval Base Kitsap</t>
  </si>
  <si>
    <t>Naval Air Station Patuxent River</t>
  </si>
  <si>
    <t>Naval Base Coronado</t>
  </si>
  <si>
    <t>Pine Gap</t>
  </si>
  <si>
    <t>United States Fleet Activities Yokosuka</t>
  </si>
  <si>
    <t>Uncommon Valor Was A Common Virtue</t>
  </si>
  <si>
    <t>I Have Not Yet Begun To Fight</t>
  </si>
  <si>
    <t>AF Is Short On Water</t>
  </si>
  <si>
    <t>Strategic Flexibility</t>
  </si>
  <si>
    <t>Severomorsk</t>
  </si>
  <si>
    <t>Sevastopol</t>
  </si>
  <si>
    <t>Atstrakhan</t>
  </si>
  <si>
    <t>Vladivostok</t>
  </si>
  <si>
    <t>Petrapavlovsk-Kamchatskiy</t>
  </si>
  <si>
    <t>Mekhachkala</t>
  </si>
  <si>
    <t>Novorossiysk</t>
  </si>
  <si>
    <t>Kaliningrad, Kaliningrad Oblast</t>
  </si>
  <si>
    <t>Baltiysk</t>
  </si>
  <si>
    <t>Kronshtadt</t>
  </si>
  <si>
    <t>Tartus, Syria</t>
  </si>
  <si>
    <t>Normalized Attack</t>
  </si>
  <si>
    <t>Normalized Defense</t>
  </si>
  <si>
    <t>Norm Combined</t>
  </si>
  <si>
    <t>NormShore</t>
  </si>
  <si>
    <t>Norm Combat</t>
  </si>
  <si>
    <t>Lada Class SSK</t>
  </si>
  <si>
    <t>Zumwalt Class DDG</t>
  </si>
  <si>
    <t>Ticonderoga Class CG</t>
  </si>
  <si>
    <t>Arleigh Burke Class DDG</t>
  </si>
  <si>
    <t>Ohio Class SSGN</t>
  </si>
  <si>
    <t>Virginia Class SSN</t>
  </si>
  <si>
    <t>Seawolf Class SSN</t>
  </si>
  <si>
    <t>Wasp Class LHA</t>
  </si>
  <si>
    <t>America Class LHA</t>
  </si>
  <si>
    <t>Gerald R Ford CVN</t>
  </si>
  <si>
    <t>Nimitz Class CVN</t>
  </si>
  <si>
    <t>Gorshkov Class FFG</t>
  </si>
  <si>
    <t>Slava Class CG</t>
  </si>
  <si>
    <t>Kirov Class CGN</t>
  </si>
  <si>
    <t>Kuznetsov Class CV</t>
  </si>
  <si>
    <t>Akula Class SSN</t>
  </si>
  <si>
    <t>Image</t>
  </si>
  <si>
    <t>Images/nimitz.jpg</t>
  </si>
  <si>
    <t>Images/ford.jpg</t>
  </si>
  <si>
    <t>Images/wasp.jpg</t>
  </si>
  <si>
    <t>Images/america.jpg</t>
  </si>
  <si>
    <t>Images/seawolf.jpg</t>
  </si>
  <si>
    <t>Images/virginia.jpg</t>
  </si>
  <si>
    <t>Images/ohio.jpg</t>
  </si>
  <si>
    <t>Images/ticonderoga.jpg</t>
  </si>
  <si>
    <t>Images/arleighburke.jpg</t>
  </si>
  <si>
    <t>Images/zumwalt.jpg</t>
  </si>
  <si>
    <t>Images/f18.jpg</t>
  </si>
  <si>
    <t>Images/f35b.jpg</t>
  </si>
  <si>
    <t>Images/f35c.jpg</t>
  </si>
  <si>
    <t>Images/harrier.jpg</t>
  </si>
  <si>
    <t>Images/kuznetsov.jpg</t>
  </si>
  <si>
    <t>Images/kirov.jpg</t>
  </si>
  <si>
    <t>Images/slava.jpg</t>
  </si>
  <si>
    <t>Images/udaloy.jpg</t>
  </si>
  <si>
    <t>Images/gorshkov.jpg</t>
  </si>
  <si>
    <t>Images/yasen.jpg</t>
  </si>
  <si>
    <t>Images/lada.jpg</t>
  </si>
  <si>
    <t>Images/oscar2.jpg</t>
  </si>
  <si>
    <t>Images/mig29k.jpg</t>
  </si>
  <si>
    <t>Images/su33.jpg</t>
  </si>
  <si>
    <t>Images/akula.jpg</t>
  </si>
  <si>
    <t>UNUSED</t>
  </si>
  <si>
    <t>That's the Spirit!</t>
  </si>
  <si>
    <t>Images/midway.jpg</t>
  </si>
  <si>
    <t>Images/keyhole.jpg</t>
  </si>
  <si>
    <t>Images/semperfi.jpg</t>
  </si>
  <si>
    <t>Images/buildem.jpg</t>
  </si>
  <si>
    <t>Images/valor.jpg</t>
  </si>
  <si>
    <t>Images/fight.jpg</t>
  </si>
  <si>
    <t>Images/winter.jpg</t>
  </si>
  <si>
    <t>Images/statemedia.jpg</t>
  </si>
  <si>
    <t>Images/disinformation.jpg</t>
  </si>
  <si>
    <t>Images/sputnik.jpg</t>
  </si>
  <si>
    <t>Images/putingun.jpg</t>
  </si>
  <si>
    <t>Images/b2.jpg</t>
  </si>
  <si>
    <t>Name</t>
  </si>
  <si>
    <t>Class</t>
  </si>
  <si>
    <t>FlavorText</t>
  </si>
  <si>
    <t>Version</t>
  </si>
  <si>
    <t>Unused0</t>
  </si>
  <si>
    <t>Unused1</t>
  </si>
  <si>
    <t>Unused2</t>
  </si>
  <si>
    <t>USS Fitzgerald</t>
  </si>
  <si>
    <t>USS Cole</t>
  </si>
  <si>
    <t>USS Porter</t>
  </si>
  <si>
    <t>USS Abraham Lincoln</t>
  </si>
  <si>
    <t>USS Carl Vinson</t>
  </si>
  <si>
    <t>USS Essex</t>
  </si>
  <si>
    <t>USS Bonhomme Richard</t>
  </si>
  <si>
    <t>USS California</t>
  </si>
  <si>
    <t>USS Seawolf</t>
  </si>
  <si>
    <t>USS Bunker Hill</t>
  </si>
  <si>
    <t>USS Philippine Sea</t>
  </si>
  <si>
    <t>Admiral Kuznetsov</t>
  </si>
  <si>
    <t>Pyotr Velikiy</t>
  </si>
  <si>
    <t>Admiral Nahkimov</t>
  </si>
  <si>
    <t>Moskva</t>
  </si>
  <si>
    <t>Varyag</t>
  </si>
  <si>
    <t>Admiral Chabenenko</t>
  </si>
  <si>
    <t>Admiral Panteleyev</t>
  </si>
  <si>
    <t>Admiral Kasatanov</t>
  </si>
  <si>
    <t>Severodvinsk</t>
  </si>
  <si>
    <t>Kazan</t>
  </si>
  <si>
    <t>Sankt Peterburg</t>
  </si>
  <si>
    <t>Tver</t>
  </si>
  <si>
    <t>Chelyabinsk</t>
  </si>
  <si>
    <t>Tigr</t>
  </si>
  <si>
    <t>Leopard</t>
  </si>
  <si>
    <t>Although sold to a company in Macau supposedly for use as a floating casino, Kuznetsov's sister ship has since unsurprisingly become the first aircraft carrier of the Chinese People's Liberation Army Navy.</t>
  </si>
  <si>
    <t>Since the decommisioning of the last retrofitted WWII-era battleship in 1991, the Kirov has been the largest surface combatant in the world.</t>
  </si>
  <si>
    <t>Udaloy II Class DDG</t>
  </si>
  <si>
    <t>Udaloy II: the ship so nice they designed it twice.</t>
  </si>
  <si>
    <t>The cutting-edge Gorshkov frigates stick out in the largely-outdated Russian surface warfare fleet.</t>
  </si>
  <si>
    <t>It's a plane, comrade.</t>
  </si>
  <si>
    <t>In Russian, akula means shark</t>
  </si>
  <si>
    <t>In addition to supporting VTOL aircraft, a Wasp amphibious assault ship is capable of delivering a Marine Expeditionary Unit complete with its armored vehicles to hostile shores via helicopters and landing craft.</t>
  </si>
  <si>
    <t>The advanced Virginia will be the standard attack submarine of the US Navy until at least the middle of the 21st century.</t>
  </si>
  <si>
    <t>Although Ohio was originally intended to carry nuclear ballistic missiles, some Ohio's have been modified as SSGNs for surface warfare and land-attack missions.</t>
  </si>
  <si>
    <t>Despite a modest displacement by historical standards, the Ticonderoga is the largest surface combatant in the US Navy.</t>
  </si>
  <si>
    <t>The multi-mission Arleigh Burke is the most numerous ship in the US Navy.</t>
  </si>
  <si>
    <t>The F-35 acquisition program cost of just under $450 billion USD would be enough to buy 450 billion $1 cheeseburgers - enough to kill all humans on earth.</t>
  </si>
  <si>
    <t>AEGIS: +2 Help Defense.</t>
  </si>
  <si>
    <t>STOBAR: Compatible with STOBAR and VTOL squadrons.</t>
  </si>
  <si>
    <t>E-2D Hawkeye-I: All friendly air squadrons in combat with this asset have +1 attack and  defense. Enemy air squadrons lose Ambush.</t>
  </si>
  <si>
    <t xml:space="preserve">Hidden: Can be played face down. </t>
  </si>
  <si>
    <t>As the most expensive class of attack submarine ever built, the Seawolf is the apex predator of the US Navy's submarine fleet.</t>
  </si>
  <si>
    <t>Both players must discard 2 cards from their deck at the end of each turn.</t>
  </si>
  <si>
    <t>Images/nato.jpg</t>
  </si>
  <si>
    <t>Ignore the effects of a tactic card.</t>
  </si>
  <si>
    <t>Search your deck for a strategy card, reveal that card and put it into your hand. Then shuffle your deck.</t>
  </si>
  <si>
    <t>E-2C Hawkeye: All squadrons you control in a combat including this asset have +1 attack and  defense.</t>
  </si>
  <si>
    <t>VTOL: Compatible with all VTOL aircraft squadrons.</t>
  </si>
  <si>
    <t>Coastal Defender: Cannot be declared as an attacker.</t>
  </si>
  <si>
    <t>Each military asset you control requires 1 less logistics, with a minimum of 1 per military asset.</t>
  </si>
  <si>
    <t>Tactic A</t>
  </si>
  <si>
    <t>Strategy A</t>
  </si>
  <si>
    <t>Tactic B</t>
  </si>
  <si>
    <t>Ability Bonuses</t>
  </si>
  <si>
    <t>Ambush</t>
  </si>
  <si>
    <t>Commerce Raider</t>
  </si>
  <si>
    <t>Help D +2</t>
  </si>
  <si>
    <t>Help D +1</t>
  </si>
  <si>
    <t>Hidden</t>
  </si>
  <si>
    <t>No attack</t>
  </si>
  <si>
    <t>Other +1</t>
  </si>
  <si>
    <t>Add bonus</t>
  </si>
  <si>
    <t>norm bonus</t>
  </si>
  <si>
    <t>Early Warn</t>
  </si>
  <si>
    <t>Other +.5</t>
  </si>
  <si>
    <t>Aircraft</t>
  </si>
  <si>
    <t>Combined</t>
  </si>
  <si>
    <t>F/A-18E Superhornet</t>
  </si>
  <si>
    <t>VTOL only</t>
  </si>
  <si>
    <t>Squadron</t>
  </si>
  <si>
    <t>Su-33 Flanker-D</t>
  </si>
  <si>
    <t>Mig-29K Fulcrum-D</t>
  </si>
  <si>
    <t>Ambush: This asset deals damage during the Ambush Damage Step.</t>
  </si>
  <si>
    <t>Special Purposes: Each time this military asset is flipped face up, your opponent must reveal one card from their hand at random.</t>
  </si>
  <si>
    <t>Strategic Strike Capability: At the end of your turn, if this asset is face-up and did not take part of an attack or defense, your opponent must discard one card from their deck.</t>
  </si>
  <si>
    <t>Commerce Raider: When assaulting a player, this military asset's assault is equal to its attack.</t>
  </si>
  <si>
    <t>VTOL-Compatible.</t>
  </si>
  <si>
    <t>STOBAR-Compatible.</t>
  </si>
  <si>
    <t>CATOBAR-Compatible.</t>
  </si>
  <si>
    <t>"I believe that I interpret the will of the Congress and of the people when I assert that we will not only defend ourselves to the uttermost, but will make it very certain that this form of treachery shall never again endanger us." - FDR</t>
  </si>
  <si>
    <t>CATOBAR: Compatible with CATOBAR, VTOL, and  STOBAR squadrons.</t>
  </si>
  <si>
    <t>Images/scuttlebutt.jpeg</t>
  </si>
  <si>
    <t>Carrier 1: Can station 1 aircraft squadron.</t>
  </si>
  <si>
    <t>Carrier 2: Can station 2 aircraft squadron.</t>
  </si>
  <si>
    <t>Carrier 3: Can station 3 aircraft squadron.</t>
  </si>
  <si>
    <t>Carrier 3</t>
  </si>
  <si>
    <t>Carrier 2</t>
  </si>
  <si>
    <t>Carrier 1</t>
  </si>
  <si>
    <t>Nothing fancy, but it ain't bad for government work.</t>
  </si>
  <si>
    <t>Chart data</t>
  </si>
  <si>
    <t>Yasen Class SSGN</t>
  </si>
  <si>
    <t>Marshal Ustinov</t>
  </si>
  <si>
    <t>Novosibirsk</t>
  </si>
  <si>
    <t>Danlil Moskovskiy</t>
  </si>
  <si>
    <t>Tambov</t>
  </si>
  <si>
    <t>Volk</t>
  </si>
  <si>
    <t>Images/victor2.jpg</t>
  </si>
  <si>
    <t>Images/navalbase.jpg</t>
  </si>
  <si>
    <t>Images/russnavybase.jpg</t>
  </si>
  <si>
    <t>Images/pinegap.jpg</t>
  </si>
  <si>
    <t>A military airbase at sea, a Nimitz carrier is more than three times as long as a football field and has more than twice the displacement of the German super-battleship Bismarck.</t>
  </si>
  <si>
    <t>Grants 2 logistics capacity to the USN player if controlled by their opponent.</t>
  </si>
  <si>
    <t>The F/A-18 is one of the longest-tenured and most battle-proven multi-role carrier aircraft in the world.</t>
  </si>
  <si>
    <t>The F-35B is a special variant of the F-35 capable of taking off and landing vertically. This allows it to be stationed on smaller carriers that have typically not been able to field cutting-edge aircraft.</t>
  </si>
  <si>
    <t>A Pepsi ad campaign promised to award a Harrier to anyone who collected enough Pepsi points- a promise Pepsi did not keep. During its service history, the Harrier has proven it is more reliable than Pepsi Co.</t>
  </si>
  <si>
    <t>Equipped with the same massive anti-ship missiles as the Kirov class, the Slava packs a similar punch in a considerably smaller form-factor.</t>
  </si>
  <si>
    <t>With more than twice the firepower of western submarines, the Yasen is Russia's best effort in no-expense-spared attack submarine development.</t>
  </si>
  <si>
    <t>The massive but aging Oscar is a relic of Cold War Soviet strategy. That said, it's large guided missile batteries are still a formidable threat to US carriers.</t>
  </si>
  <si>
    <t>Look at and reorder the top 4 cards of your deck. You may put any number on the bottom of your deck.</t>
  </si>
  <si>
    <t>Counter-Espionage</t>
  </si>
  <si>
    <t>Flip all military assets your opponent controls face up. You opponent must also reveal their hand.</t>
  </si>
  <si>
    <t>You may immediately discard one military asset from an attack you've declared in order to add twice that asset's attack statistic to your damage total during the Normal Damage Step.</t>
  </si>
  <si>
    <t>State-Controlled Media</t>
  </si>
  <si>
    <t>Images/dolls.jpeg</t>
  </si>
  <si>
    <t>Aerial Refueling</t>
  </si>
  <si>
    <t>Carriers you control do not need to take part in the damage order of an attack in order for their aircraft to take part in an attack. Carriers are still considered to be attacking, and can still only attack one target per turn.</t>
  </si>
  <si>
    <t>With a $15M unit cost conceivably affordable by even second-tier NBA starters, the Mig-29K is proof that performance and price are not always at odds.</t>
  </si>
  <si>
    <t>Build 'Em Faster Than They Can Sink 'Em</t>
  </si>
  <si>
    <t>Whenever you lose a military asset of logistics 3 or greater, you may draw a card.</t>
  </si>
  <si>
    <t>Although shorter-ranged than nuclear attack submarines, diesel-electric attack submarines are smaller, quieter and nearly as well armed.</t>
  </si>
  <si>
    <t xml:space="preserve">Immediately (during this action step) take one military asset card from your hand and put it into play under your control face up; it may attack or defend this turn. This military asset must be otherwise valid to play. </t>
  </si>
  <si>
    <t>Search your deck for an air squadron, reveal it, and place it on a territory you control. Then shuffle your deck. You must control a territory to play this card.</t>
  </si>
  <si>
    <t>S-300: +1 Help Defense.</t>
  </si>
  <si>
    <t>Whenever an opponent buys-back a territory card you control, they must discard an additional card from their deck.</t>
  </si>
  <si>
    <t>Scorched Earth</t>
  </si>
  <si>
    <t>Whenever you destroy a ship of logistics cost 3 or greater, you may look at the top card of your deck and may choose to put it on the bottom of your deck.</t>
  </si>
  <si>
    <t>Sovremanny Class DDG</t>
  </si>
  <si>
    <t>Rapid Mobilization</t>
  </si>
  <si>
    <t>Your opponents territories provide 1 less logistics.</t>
  </si>
  <si>
    <t>Destroy one territory belonging to your opponent that is under your control.</t>
  </si>
  <si>
    <t>Strategic Destabilization</t>
  </si>
  <si>
    <t>USS George Washington</t>
  </si>
  <si>
    <t>USS Boxer</t>
  </si>
  <si>
    <t>USS Iow Jima</t>
  </si>
  <si>
    <t>USS Bataan</t>
  </si>
  <si>
    <t>USS Mississippi</t>
  </si>
  <si>
    <t>USS Hawaii</t>
  </si>
  <si>
    <t>USS Florida</t>
  </si>
  <si>
    <t>USS Ohio</t>
  </si>
  <si>
    <t>USS Gettysburg</t>
  </si>
  <si>
    <t>USS Spruance</t>
  </si>
  <si>
    <t>USS John Paul Jones</t>
  </si>
  <si>
    <t>USS Zumwalt</t>
  </si>
  <si>
    <t>USS Michael Monsoor</t>
  </si>
  <si>
    <t>Tophatters</t>
  </si>
  <si>
    <t>Sidewinders</t>
  </si>
  <si>
    <t>Warhawks</t>
  </si>
  <si>
    <t>Eagles</t>
  </si>
  <si>
    <t>Vigilantes</t>
  </si>
  <si>
    <t>Green Knights</t>
  </si>
  <si>
    <t>Flying Leathernecks</t>
  </si>
  <si>
    <t>Wake Island Avengers</t>
  </si>
  <si>
    <t>Black Knights</t>
  </si>
  <si>
    <t>Rough Raiders</t>
  </si>
  <si>
    <t>Argonauts</t>
  </si>
  <si>
    <t>Black Sheep</t>
  </si>
  <si>
    <t>Bulldogs</t>
  </si>
  <si>
    <t>Ace of Spades</t>
  </si>
  <si>
    <t>Tomcats</t>
  </si>
  <si>
    <t>Tigers</t>
  </si>
  <si>
    <t>Admiral Ushakov</t>
  </si>
  <si>
    <t>Admiral Levchenko</t>
  </si>
  <si>
    <t>Admiral Vinogradov</t>
  </si>
  <si>
    <t>Admiral Shaposhnikov</t>
  </si>
  <si>
    <t>Admiral Gorshkov</t>
  </si>
  <si>
    <t>Omsk</t>
  </si>
  <si>
    <t>Tomsk</t>
  </si>
  <si>
    <t>Bratsk</t>
  </si>
  <si>
    <t>Samara</t>
  </si>
  <si>
    <t>Obninsk</t>
  </si>
  <si>
    <t>Nizny Novgorod</t>
  </si>
  <si>
    <t>100th Regiment</t>
  </si>
  <si>
    <t>101st Regiment</t>
  </si>
  <si>
    <t>102nd Regiment</t>
  </si>
  <si>
    <t>Bystryy</t>
  </si>
  <si>
    <t>Nastoychivyy</t>
  </si>
  <si>
    <t>Burnyy</t>
  </si>
  <si>
    <t>Tactic C</t>
  </si>
  <si>
    <t>Tactic D</t>
  </si>
  <si>
    <t>Strategy B</t>
  </si>
  <si>
    <t>US Naval Base</t>
  </si>
  <si>
    <t>Russian Naval Base</t>
  </si>
  <si>
    <t>Arkhangelsk</t>
  </si>
  <si>
    <t>Images/sovremenny.jpg</t>
  </si>
  <si>
    <t>With a name that means "modern" in Russian, they are the oldest class of destroyer in the Russian Navy.</t>
  </si>
  <si>
    <t>Images/scorched.jpg</t>
  </si>
  <si>
    <t>Images/refuel.jpg</t>
  </si>
  <si>
    <t>Images/electricgrid.jpg</t>
  </si>
  <si>
    <t>Images/mobilization.jpg</t>
  </si>
  <si>
    <t>Your opponent must discard 5 cards from their deck.</t>
  </si>
  <si>
    <t>Kuzbass</t>
  </si>
  <si>
    <t>Images/pearlharbor.jpg</t>
  </si>
  <si>
    <t>Victor III Class SSN</t>
  </si>
  <si>
    <t>Oscar II Class SSGN</t>
  </si>
  <si>
    <t>With a cost of $1M per shot from its main howitzer, it is important for the crew of a Zumwalt to aim carefully.</t>
  </si>
  <si>
    <t>Search your library for military asset cards whose combined logistics is equal to or less than 4, put those cards into your hand, then shuffle your library.</t>
  </si>
  <si>
    <t>Immediately destroy one face-up military asset whose total defense including Help Defense and stationed aircraft is 6 or less.</t>
  </si>
  <si>
    <t>RAINFALL: During your first deployment phase each turn, select a face down asset controlled by your opponent. Your opponent must reveal this asset. It remains face down afterwards.</t>
  </si>
  <si>
    <t>Retrieve one card from your discard pile, reveal it, and put it on top of your deck.</t>
  </si>
  <si>
    <t>0.0.1</t>
  </si>
  <si>
    <t>Partisans: Provides -4 logistics capacity if controlled by a non-Russian player.</t>
  </si>
  <si>
    <t>CAP: +2 Help Defense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</si>
</sst>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16" fontId="0" fillId="0" borderId="0" xfId="0" applyNumberFormat="1"/>
    <xf numFmtId="0" fontId="0" fillId="0" borderId="0" xfId="0" applyNumberFormat="1"/>
    <xf numFmtId="0" fontId="0" fillId="0" borderId="0" xfId="0"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Effectiveness vs. Logistics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balance!$O$31</c:f>
              <c:strCache>
                <c:ptCount val="1"/>
                <c:pt idx="0">
                  <c:v>Combined</c:v>
                </c:pt>
              </c:strCache>
            </c:strRef>
          </c:tx>
          <c:spPr>
            <a:ln w="19050" cap="rnd">
              <a:noFill/>
              <a:round/>
            </a:ln>
            <a:effectLst/>
          </c:spPr>
          <c:marker>
            <c:symbol val="circle"/>
            <c:size val="5"/>
            <c:spPr>
              <a:solidFill>
                <a:schemeClr val="accent1"/>
              </a:solidFill>
              <a:ln w="9525">
                <a:solidFill>
                  <a:schemeClr val="accent1"/>
                </a:solidFill>
              </a:ln>
              <a:effectLst/>
            </c:spPr>
          </c:marker>
          <c:dLbls>
            <c:dLbl>
              <c:idx val="0"/>
              <c:tx>
                <c:rich>
                  <a:bodyPr/>
                  <a:lstStyle/>
                  <a:p>
                    <a:fld id="{4D6DB364-DB18-4F38-837E-A2900AC46780}"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3C0-4619-821D-896B937818E5}"/>
                </c:ext>
              </c:extLst>
            </c:dLbl>
            <c:dLbl>
              <c:idx val="1"/>
              <c:tx>
                <c:rich>
                  <a:bodyPr/>
                  <a:lstStyle/>
                  <a:p>
                    <a:fld id="{AA85A0B1-C97B-4F1F-9E75-F902F8352A5D}"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3C0-4619-821D-896B937818E5}"/>
                </c:ext>
              </c:extLst>
            </c:dLbl>
            <c:dLbl>
              <c:idx val="2"/>
              <c:tx>
                <c:rich>
                  <a:bodyPr/>
                  <a:lstStyle/>
                  <a:p>
                    <a:fld id="{D57FDCA4-81DA-4D62-BF9B-1E2F63CA8128}"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3C0-4619-821D-896B937818E5}"/>
                </c:ext>
              </c:extLst>
            </c:dLbl>
            <c:dLbl>
              <c:idx val="3"/>
              <c:layout>
                <c:manualLayout>
                  <c:x val="-8.085562594577958E-2"/>
                  <c:y val="-6.7085953878406705E-3"/>
                </c:manualLayout>
              </c:layout>
              <c:tx>
                <c:rich>
                  <a:bodyPr/>
                  <a:lstStyle/>
                  <a:p>
                    <a:fld id="{C56F20A5-9E25-4BEB-B731-8CB931C4F20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D3C0-4619-821D-896B937818E5}"/>
                </c:ext>
              </c:extLst>
            </c:dLbl>
            <c:dLbl>
              <c:idx val="4"/>
              <c:layout>
                <c:manualLayout>
                  <c:x val="-8.2762214983713361E-2"/>
                  <c:y val="-2.8511530398322882E-2"/>
                </c:manualLayout>
              </c:layout>
              <c:tx>
                <c:rich>
                  <a:bodyPr/>
                  <a:lstStyle/>
                  <a:p>
                    <a:fld id="{2278EB9A-4F0C-46F5-863C-71168974DD3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D3C0-4619-821D-896B937818E5}"/>
                </c:ext>
              </c:extLst>
            </c:dLbl>
            <c:dLbl>
              <c:idx val="5"/>
              <c:tx>
                <c:rich>
                  <a:bodyPr/>
                  <a:lstStyle/>
                  <a:p>
                    <a:fld id="{15F523E7-265E-49F2-92A5-4F68BB5A2E66}"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D3C0-4619-821D-896B937818E5}"/>
                </c:ext>
              </c:extLst>
            </c:dLbl>
            <c:dLbl>
              <c:idx val="6"/>
              <c:tx>
                <c:rich>
                  <a:bodyPr/>
                  <a:lstStyle/>
                  <a:p>
                    <a:fld id="{43095CC7-9CC4-4AE8-B396-6E6E33C14420}"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3C0-4619-821D-896B937818E5}"/>
                </c:ext>
              </c:extLst>
            </c:dLbl>
            <c:dLbl>
              <c:idx val="7"/>
              <c:layout>
                <c:manualLayout>
                  <c:x val="-8.697933605204887E-2"/>
                  <c:y val="-1.0062893081761068E-2"/>
                </c:manualLayout>
              </c:layout>
              <c:tx>
                <c:rich>
                  <a:bodyPr/>
                  <a:lstStyle/>
                  <a:p>
                    <a:fld id="{EEEE585A-7BCB-4996-87E0-81422932C65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D3C0-4619-821D-896B937818E5}"/>
                </c:ext>
              </c:extLst>
            </c:dLbl>
            <c:dLbl>
              <c:idx val="8"/>
              <c:layout>
                <c:manualLayout>
                  <c:x val="4.925081433224756E-3"/>
                  <c:y val="-5.0314465408805029E-3"/>
                </c:manualLayout>
              </c:layout>
              <c:tx>
                <c:rich>
                  <a:bodyPr/>
                  <a:lstStyle/>
                  <a:p>
                    <a:fld id="{D36C3F26-2DCC-4AF7-A4A0-83C82955F1C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D3C0-4619-821D-896B937818E5}"/>
                </c:ext>
              </c:extLst>
            </c:dLbl>
            <c:dLbl>
              <c:idx val="9"/>
              <c:tx>
                <c:rich>
                  <a:bodyPr/>
                  <a:lstStyle/>
                  <a:p>
                    <a:fld id="{CA2038E2-3CBC-4250-9EA8-7CA3EF54C5C8}"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D3C0-4619-821D-896B937818E5}"/>
                </c:ext>
              </c:extLst>
            </c:dLbl>
            <c:dLbl>
              <c:idx val="10"/>
              <c:layout>
                <c:manualLayout>
                  <c:x val="-8.6888165038002174E-2"/>
                  <c:y val="0"/>
                </c:manualLayout>
              </c:layout>
              <c:tx>
                <c:rich>
                  <a:bodyPr/>
                  <a:lstStyle/>
                  <a:p>
                    <a:fld id="{EAEB6E33-A2EF-4441-99CF-FF240E6AE8D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D3C0-4619-821D-896B937818E5}"/>
                </c:ext>
              </c:extLst>
            </c:dLbl>
            <c:dLbl>
              <c:idx val="11"/>
              <c:layout>
                <c:manualLayout>
                  <c:x val="-8.4347482623303979E-2"/>
                  <c:y val="-8.3856782053187365E-3"/>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0754437B-36A0-44F1-81D0-69F772FF2B29}"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layout>
                    <c:manualLayout>
                      <c:w val="6.7843682406148742E-2"/>
                      <c:h val="3.3517885735981114E-2"/>
                    </c:manualLayout>
                  </c15:layout>
                  <c15:dlblFieldTable/>
                  <c15:showDataLabelsRange val="1"/>
                </c:ext>
                <c:ext xmlns:c16="http://schemas.microsoft.com/office/drawing/2014/chart" uri="{C3380CC4-5D6E-409C-BE32-E72D297353CC}">
                  <c16:uniqueId val="{0000000E-D3C0-4619-821D-896B937818E5}"/>
                </c:ext>
              </c:extLst>
            </c:dLbl>
            <c:dLbl>
              <c:idx val="12"/>
              <c:tx>
                <c:rich>
                  <a:bodyPr/>
                  <a:lstStyle/>
                  <a:p>
                    <a:fld id="{4AD3AD4C-039B-4D74-9E5C-2E0B98344B3D}"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D3C0-4619-821D-896B937818E5}"/>
                </c:ext>
              </c:extLst>
            </c:dLbl>
            <c:dLbl>
              <c:idx val="13"/>
              <c:layout>
                <c:manualLayout>
                  <c:x val="2.0833910419178075E-2"/>
                  <c:y val="-1.8448637316561968E-2"/>
                </c:manualLayout>
              </c:layout>
              <c:tx>
                <c:rich>
                  <a:bodyPr/>
                  <a:lstStyle/>
                  <a:p>
                    <a:fld id="{3903C30B-2DCC-44E9-B71C-12C4A6DB501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D3C0-4619-821D-896B937818E5}"/>
                </c:ext>
              </c:extLst>
            </c:dLbl>
            <c:dLbl>
              <c:idx val="14"/>
              <c:layout>
                <c:manualLayout>
                  <c:x val="-7.8788307813314862E-2"/>
                  <c:y val="-3.3542976939203661E-3"/>
                </c:manualLayout>
              </c:layout>
              <c:tx>
                <c:rich>
                  <a:bodyPr/>
                  <a:lstStyle/>
                  <a:p>
                    <a:fld id="{A8C447E2-C885-43FB-80DA-D2FE5C4CB3F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D3C0-4619-821D-896B937818E5}"/>
                </c:ext>
              </c:extLst>
            </c:dLbl>
            <c:dLbl>
              <c:idx val="15"/>
              <c:layout>
                <c:manualLayout>
                  <c:x val="-7.6668872417006637E-2"/>
                  <c:y val="2.1802935010482211E-2"/>
                </c:manualLayout>
              </c:layout>
              <c:tx>
                <c:rich>
                  <a:bodyPr/>
                  <a:lstStyle/>
                  <a:p>
                    <a:fld id="{0C596FFC-06FB-4CBE-89E7-3B7911C2D11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D3C0-4619-821D-896B937818E5}"/>
                </c:ext>
              </c:extLst>
            </c:dLbl>
            <c:dLbl>
              <c:idx val="16"/>
              <c:layout>
                <c:manualLayout>
                  <c:x val="-7.266015200868621E-2"/>
                  <c:y val="-1.0062893081761006E-2"/>
                </c:manualLayout>
              </c:layout>
              <c:tx>
                <c:rich>
                  <a:bodyPr/>
                  <a:lstStyle/>
                  <a:p>
                    <a:fld id="{2284EA7E-420F-4AC8-A8D2-8F5AADB4A4B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D3C0-4619-821D-896B937818E5}"/>
                </c:ext>
              </c:extLst>
            </c:dLbl>
            <c:dLbl>
              <c:idx val="17"/>
              <c:layout>
                <c:manualLayout>
                  <c:x val="-0.11449294245385451"/>
                  <c:y val="3.3543637234024993E-3"/>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E2C99A2D-65AB-4462-A644-9132C980E8B1}" type="CELLRANGE">
                      <a:rPr lang="en-US"/>
                      <a:pPr>
                        <a:defRPr/>
                      </a:pPr>
                      <a:t>[CELLRANGE]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layout>
                    <c:manualLayout>
                      <c:w val="7.4970684039087951E-2"/>
                      <c:h val="3.0163588042060777E-2"/>
                    </c:manualLayout>
                  </c15:layout>
                  <c15:dlblFieldTable/>
                  <c15:showDataLabelsRange val="1"/>
                </c:ext>
                <c:ext xmlns:c16="http://schemas.microsoft.com/office/drawing/2014/chart" uri="{C3380CC4-5D6E-409C-BE32-E72D297353CC}">
                  <c16:uniqueId val="{00000014-D3C0-4619-821D-896B937818E5}"/>
                </c:ext>
              </c:extLst>
            </c:dLbl>
            <c:dLbl>
              <c:idx val="18"/>
              <c:layout>
                <c:manualLayout>
                  <c:x val="6.9923995656894682E-3"/>
                  <c:y val="1.8448637316561847E-2"/>
                </c:manualLayout>
              </c:layout>
              <c:tx>
                <c:rich>
                  <a:bodyPr/>
                  <a:lstStyle/>
                  <a:p>
                    <a:fld id="{D12402CF-C244-4B8B-9AB3-CA6E8640473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D3C0-4619-821D-896B937818E5}"/>
                </c:ext>
              </c:extLst>
            </c:dLbl>
            <c:dLbl>
              <c:idx val="19"/>
              <c:layout>
                <c:manualLayout>
                  <c:x val="-7.5561346362649356E-2"/>
                  <c:y val="1.8448637316561784E-2"/>
                </c:manualLayout>
              </c:layout>
              <c:tx>
                <c:rich>
                  <a:bodyPr/>
                  <a:lstStyle/>
                  <a:p>
                    <a:fld id="{4FC8736B-1327-499C-8785-FF5DBD7BA6A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D3C0-4619-821D-896B937818E5}"/>
                </c:ext>
              </c:extLst>
            </c:dLbl>
            <c:dLbl>
              <c:idx val="20"/>
              <c:layout>
                <c:manualLayout>
                  <c:x val="-6.2857797498439727E-2"/>
                  <c:y val="-1.509433962264151E-2"/>
                </c:manualLayout>
              </c:layout>
              <c:tx>
                <c:rich>
                  <a:bodyPr/>
                  <a:lstStyle/>
                  <a:p>
                    <a:fld id="{434C7A61-2A59-4779-9D59-E2EC0591394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D3C0-4619-821D-896B937818E5}"/>
                </c:ext>
              </c:extLst>
            </c:dLbl>
            <c:dLbl>
              <c:idx val="21"/>
              <c:layout>
                <c:manualLayout>
                  <c:x val="-6.6975061342087944E-2"/>
                  <c:y val="-1.6771488469601678E-2"/>
                </c:manualLayout>
              </c:layout>
              <c:tx>
                <c:rich>
                  <a:bodyPr/>
                  <a:lstStyle/>
                  <a:p>
                    <a:fld id="{DC1F3211-65A5-4DA2-B017-4ED3A85A6FC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D3C0-4619-821D-896B937818E5}"/>
                </c:ext>
              </c:extLst>
            </c:dLbl>
            <c:dLbl>
              <c:idx val="22"/>
              <c:tx>
                <c:rich>
                  <a:bodyPr/>
                  <a:lstStyle/>
                  <a:p>
                    <a:fld id="{A9524DEA-2C66-4B3C-8A48-1723E2520A48}"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D3C0-4619-821D-896B937818E5}"/>
                </c:ext>
              </c:extLst>
            </c:dLbl>
            <c:dLbl>
              <c:idx val="23"/>
              <c:layout>
                <c:manualLayout>
                  <c:x val="-7.8401737242128122E-2"/>
                  <c:y val="-1.6771488469602292E-3"/>
                </c:manualLayout>
              </c:layout>
              <c:tx>
                <c:rich>
                  <a:bodyPr/>
                  <a:lstStyle/>
                  <a:p>
                    <a:fld id="{C1B30724-4305-4AAC-ACC8-95FA5724D96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D3C0-4619-821D-896B937818E5}"/>
                </c:ext>
              </c:extLst>
            </c:dLbl>
            <c:dLbl>
              <c:idx val="24"/>
              <c:tx>
                <c:rich>
                  <a:bodyPr/>
                  <a:lstStyle/>
                  <a:p>
                    <a:fld id="{0702B3D9-B3E2-4852-A838-0EC57FD0B1D3}"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DFD-4BD9-8335-DB499B219279}"/>
                </c:ext>
              </c:extLst>
            </c:dLbl>
            <c:dLbl>
              <c:idx val="25"/>
              <c:layout>
                <c:manualLayout>
                  <c:x val="-7.1027144408251933E-2"/>
                  <c:y val="-2.3480083857442349E-2"/>
                </c:manualLayout>
              </c:layout>
              <c:tx>
                <c:rich>
                  <a:bodyPr/>
                  <a:lstStyle/>
                  <a:p>
                    <a:fld id="{60C0E382-A740-456B-B0F9-05D6A6FF5E2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DFD-4BD9-8335-DB499B219279}"/>
                </c:ext>
              </c:extLst>
            </c:dLbl>
            <c:dLbl>
              <c:idx val="26"/>
              <c:tx>
                <c:rich>
                  <a:bodyPr/>
                  <a:lstStyle/>
                  <a:p>
                    <a:fld id="{16CBE567-4CC0-4838-8968-62B867CD6DC3}"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EE9-4CAB-8B5C-2BAF8B2482D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exp"/>
            <c:dispRSqr val="0"/>
            <c:dispEq val="0"/>
          </c:trendline>
          <c:trendline>
            <c:spPr>
              <a:ln w="19050" cap="rnd">
                <a:solidFill>
                  <a:srgbClr val="FF0000"/>
                </a:solidFill>
                <a:prstDash val="sysDot"/>
              </a:ln>
              <a:effectLst/>
            </c:spPr>
            <c:trendlineType val="linear"/>
            <c:dispRSqr val="0"/>
            <c:dispEq val="0"/>
          </c:trendline>
          <c:xVal>
            <c:numRef>
              <c:f>balance!$N$32:$N$58</c:f>
              <c:numCache>
                <c:formatCode>General</c:formatCode>
                <c:ptCount val="27"/>
                <c:pt idx="0">
                  <c:v>6</c:v>
                </c:pt>
                <c:pt idx="1">
                  <c:v>7</c:v>
                </c:pt>
                <c:pt idx="2">
                  <c:v>3</c:v>
                </c:pt>
                <c:pt idx="3">
                  <c:v>5</c:v>
                </c:pt>
                <c:pt idx="4">
                  <c:v>5</c:v>
                </c:pt>
                <c:pt idx="5">
                  <c:v>4</c:v>
                </c:pt>
                <c:pt idx="6">
                  <c:v>5</c:v>
                </c:pt>
                <c:pt idx="7">
                  <c:v>4</c:v>
                </c:pt>
                <c:pt idx="8">
                  <c:v>3</c:v>
                </c:pt>
                <c:pt idx="9">
                  <c:v>3</c:v>
                </c:pt>
                <c:pt idx="10">
                  <c:v>2</c:v>
                </c:pt>
                <c:pt idx="11">
                  <c:v>3</c:v>
                </c:pt>
                <c:pt idx="12">
                  <c:v>2</c:v>
                </c:pt>
                <c:pt idx="13">
                  <c:v>1</c:v>
                </c:pt>
                <c:pt idx="14">
                  <c:v>6</c:v>
                </c:pt>
                <c:pt idx="15">
                  <c:v>6</c:v>
                </c:pt>
                <c:pt idx="16">
                  <c:v>3</c:v>
                </c:pt>
                <c:pt idx="17">
                  <c:v>2</c:v>
                </c:pt>
                <c:pt idx="18">
                  <c:v>2</c:v>
                </c:pt>
                <c:pt idx="19">
                  <c:v>5</c:v>
                </c:pt>
                <c:pt idx="20">
                  <c:v>2</c:v>
                </c:pt>
                <c:pt idx="21">
                  <c:v>3</c:v>
                </c:pt>
                <c:pt idx="22">
                  <c:v>1</c:v>
                </c:pt>
                <c:pt idx="23">
                  <c:v>1</c:v>
                </c:pt>
                <c:pt idx="24">
                  <c:v>1</c:v>
                </c:pt>
                <c:pt idx="25">
                  <c:v>3</c:v>
                </c:pt>
                <c:pt idx="26">
                  <c:v>1</c:v>
                </c:pt>
              </c:numCache>
            </c:numRef>
          </c:xVal>
          <c:yVal>
            <c:numRef>
              <c:f>balance!$O$32:$O$58</c:f>
              <c:numCache>
                <c:formatCode>General</c:formatCode>
                <c:ptCount val="27"/>
                <c:pt idx="0">
                  <c:v>12.5</c:v>
                </c:pt>
                <c:pt idx="1">
                  <c:v>13</c:v>
                </c:pt>
                <c:pt idx="2">
                  <c:v>5.5</c:v>
                </c:pt>
                <c:pt idx="3">
                  <c:v>6</c:v>
                </c:pt>
                <c:pt idx="4">
                  <c:v>12</c:v>
                </c:pt>
                <c:pt idx="5">
                  <c:v>10.5</c:v>
                </c:pt>
                <c:pt idx="6">
                  <c:v>11.5</c:v>
                </c:pt>
                <c:pt idx="7">
                  <c:v>9.5</c:v>
                </c:pt>
                <c:pt idx="8">
                  <c:v>8.5</c:v>
                </c:pt>
                <c:pt idx="9">
                  <c:v>7</c:v>
                </c:pt>
                <c:pt idx="10">
                  <c:v>7.5</c:v>
                </c:pt>
                <c:pt idx="11">
                  <c:v>8</c:v>
                </c:pt>
                <c:pt idx="12">
                  <c:v>8.5</c:v>
                </c:pt>
                <c:pt idx="13">
                  <c:v>5</c:v>
                </c:pt>
                <c:pt idx="14">
                  <c:v>13</c:v>
                </c:pt>
                <c:pt idx="15">
                  <c:v>12.5</c:v>
                </c:pt>
                <c:pt idx="16">
                  <c:v>8.5</c:v>
                </c:pt>
                <c:pt idx="17">
                  <c:v>7</c:v>
                </c:pt>
                <c:pt idx="18">
                  <c:v>6.5</c:v>
                </c:pt>
                <c:pt idx="19">
                  <c:v>11.5</c:v>
                </c:pt>
                <c:pt idx="20">
                  <c:v>5.5</c:v>
                </c:pt>
                <c:pt idx="21">
                  <c:v>9</c:v>
                </c:pt>
                <c:pt idx="22">
                  <c:v>7</c:v>
                </c:pt>
                <c:pt idx="23">
                  <c:v>7.5</c:v>
                </c:pt>
                <c:pt idx="24">
                  <c:v>6.5</c:v>
                </c:pt>
                <c:pt idx="25">
                  <c:v>9.5</c:v>
                </c:pt>
                <c:pt idx="26">
                  <c:v>4</c:v>
                </c:pt>
              </c:numCache>
            </c:numRef>
          </c:yVal>
          <c:smooth val="0"/>
          <c:extLst>
            <c:ext xmlns:c15="http://schemas.microsoft.com/office/drawing/2012/chart" uri="{02D57815-91ED-43cb-92C2-25804820EDAC}">
              <c15:datalabelsRange>
                <c15:f>balance!$A$2:$A$240</c15:f>
                <c15:dlblRangeCache>
                  <c:ptCount val="239"/>
                  <c:pt idx="0">
                    <c:v>Nimitz Class CVN</c:v>
                  </c:pt>
                  <c:pt idx="1">
                    <c:v>Gerald R Ford CVN</c:v>
                  </c:pt>
                  <c:pt idx="2">
                    <c:v>Wasp Class LHA</c:v>
                  </c:pt>
                  <c:pt idx="3">
                    <c:v>America Class LHA</c:v>
                  </c:pt>
                  <c:pt idx="4">
                    <c:v>Seawolf Class SSN</c:v>
                  </c:pt>
                  <c:pt idx="5">
                    <c:v>Virginia Class SSN</c:v>
                  </c:pt>
                  <c:pt idx="6">
                    <c:v>Ohio Class SSGN</c:v>
                  </c:pt>
                  <c:pt idx="7">
                    <c:v>Ticonderoga Class CG</c:v>
                  </c:pt>
                  <c:pt idx="8">
                    <c:v>Arleigh Burke Class DDG</c:v>
                  </c:pt>
                  <c:pt idx="9">
                    <c:v>Zumwalt Class DDG</c:v>
                  </c:pt>
                  <c:pt idx="10">
                    <c:v>F/A-18E Superhornet</c:v>
                  </c:pt>
                  <c:pt idx="11">
                    <c:v>F-35B Lightning II</c:v>
                  </c:pt>
                  <c:pt idx="12">
                    <c:v>F-35C  Lightning II</c:v>
                  </c:pt>
                  <c:pt idx="13">
                    <c:v>AV-8B Harrier II</c:v>
                  </c:pt>
                  <c:pt idx="14">
                    <c:v>Kuznetsov Class CV</c:v>
                  </c:pt>
                  <c:pt idx="15">
                    <c:v>Kirov Class CGN</c:v>
                  </c:pt>
                  <c:pt idx="16">
                    <c:v>Slava Class CG</c:v>
                  </c:pt>
                  <c:pt idx="17">
                    <c:v>Udaloy II Class DDG</c:v>
                  </c:pt>
                  <c:pt idx="18">
                    <c:v>Gorshkov Class FFG</c:v>
                  </c:pt>
                  <c:pt idx="19">
                    <c:v>Yasen Class SSGN</c:v>
                  </c:pt>
                  <c:pt idx="20">
                    <c:v>Lada Class SSK</c:v>
                  </c:pt>
                  <c:pt idx="21">
                    <c:v>Oscar II Class SSGN</c:v>
                  </c:pt>
                  <c:pt idx="22">
                    <c:v>Mig-29K Fulcrum-D</c:v>
                  </c:pt>
                  <c:pt idx="23">
                    <c:v>Su-33 Flanker-D</c:v>
                  </c:pt>
                  <c:pt idx="24">
                    <c:v>Victor III Class SSN</c:v>
                  </c:pt>
                  <c:pt idx="25">
                    <c:v>Akula Class SSN</c:v>
                  </c:pt>
                  <c:pt idx="26">
                    <c:v>Sovremanny Class DDG</c:v>
                  </c:pt>
                </c15:dlblRangeCache>
              </c15:datalabelsRange>
            </c:ext>
            <c:ext xmlns:c16="http://schemas.microsoft.com/office/drawing/2014/chart" uri="{C3380CC4-5D6E-409C-BE32-E72D297353CC}">
              <c16:uniqueId val="{00000000-D3C0-4619-821D-896B937818E5}"/>
            </c:ext>
          </c:extLst>
        </c:ser>
        <c:dLbls>
          <c:showLegendKey val="0"/>
          <c:showVal val="0"/>
          <c:showCatName val="0"/>
          <c:showSerName val="0"/>
          <c:showPercent val="0"/>
          <c:showBubbleSize val="0"/>
        </c:dLbls>
        <c:axId val="552079632"/>
        <c:axId val="552080616"/>
      </c:scatterChart>
      <c:valAx>
        <c:axId val="5520796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80616"/>
        <c:crosses val="autoZero"/>
        <c:crossBetween val="midCat"/>
      </c:valAx>
      <c:valAx>
        <c:axId val="552080616"/>
        <c:scaling>
          <c:orientation val="minMax"/>
          <c:max val="15"/>
          <c:min val="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0796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61</xdr:row>
      <xdr:rowOff>76199</xdr:rowOff>
    </xdr:from>
    <xdr:to>
      <xdr:col>16</xdr:col>
      <xdr:colOff>809625</xdr:colOff>
      <xdr:row>101</xdr:row>
      <xdr:rowOff>28574</xdr:rowOff>
    </xdr:to>
    <xdr:graphicFrame macro="">
      <xdr:nvGraphicFramePr>
        <xdr:cNvPr id="4" name="Chart 3">
          <a:extLst>
            <a:ext uri="{FF2B5EF4-FFF2-40B4-BE49-F238E27FC236}">
              <a16:creationId xmlns:a16="http://schemas.microsoft.com/office/drawing/2014/main" id="{74F79CED-9978-42C2-8E9E-E6A0A9422D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A294D-8A6F-470F-8FC6-DE99DB04E18C}">
  <sheetPr codeName="Sheet1"/>
  <dimension ref="A1:T58"/>
  <sheetViews>
    <sheetView workbookViewId="0">
      <selection activeCell="S72" sqref="S72"/>
    </sheetView>
  </sheetViews>
  <sheetFormatPr defaultRowHeight="15" x14ac:dyDescent="0.25"/>
  <cols>
    <col min="1" max="1" width="30.85546875" customWidth="1"/>
    <col min="10" max="10" width="10" customWidth="1"/>
    <col min="12" max="12" width="21" customWidth="1"/>
    <col min="13" max="13" width="20.140625" customWidth="1"/>
    <col min="14" max="14" width="12" customWidth="1"/>
    <col min="15" max="16" width="15.42578125" customWidth="1"/>
    <col min="17" max="17" width="19.140625" bestFit="1" customWidth="1"/>
    <col min="19" max="19" width="16.5703125" customWidth="1"/>
  </cols>
  <sheetData>
    <row r="1" spans="1:20" x14ac:dyDescent="0.25">
      <c r="A1" t="str">
        <f>military_assets!A1</f>
        <v>Title</v>
      </c>
      <c r="B1" t="str">
        <f>military_assets!J1</f>
        <v>Type</v>
      </c>
      <c r="C1" t="str">
        <f>military_assets!E1</f>
        <v>Attack</v>
      </c>
      <c r="E1" t="str">
        <f>military_assets!F1</f>
        <v>ShoreAttack</v>
      </c>
      <c r="F1" t="str">
        <f>military_assets!G1</f>
        <v>Defense</v>
      </c>
      <c r="G1" t="str">
        <f>military_assets!H1</f>
        <v>Logistics</v>
      </c>
      <c r="I1" t="str">
        <f>military_assets!I1</f>
        <v>Rosters</v>
      </c>
      <c r="J1" t="s">
        <v>186</v>
      </c>
      <c r="K1" t="s">
        <v>187</v>
      </c>
      <c r="L1" t="s">
        <v>55</v>
      </c>
      <c r="M1" t="s">
        <v>56</v>
      </c>
      <c r="N1" t="s">
        <v>58</v>
      </c>
      <c r="O1" t="s">
        <v>57</v>
      </c>
      <c r="P1" t="s">
        <v>59</v>
      </c>
      <c r="Q1" t="s">
        <v>191</v>
      </c>
    </row>
    <row r="2" spans="1:20" x14ac:dyDescent="0.25">
      <c r="A2" t="str">
        <f>military_assets!A2</f>
        <v>Nimitz Class CVN</v>
      </c>
      <c r="B2" t="str">
        <f>military_assets!J2</f>
        <v>Ship</v>
      </c>
      <c r="C2">
        <f>military_assets!E2</f>
        <v>0</v>
      </c>
      <c r="E2">
        <f>military_assets!F2</f>
        <v>0</v>
      </c>
      <c r="F2">
        <f>military_assets!G2</f>
        <v>2</v>
      </c>
      <c r="G2">
        <f>military_assets!H2</f>
        <v>6</v>
      </c>
      <c r="I2" t="str">
        <f>military_assets!I2</f>
        <v>USN</v>
      </c>
      <c r="J2">
        <f>T17+T7+T8</f>
        <v>10.5</v>
      </c>
      <c r="K2">
        <f>J2/G2</f>
        <v>1.75</v>
      </c>
      <c r="L2">
        <f t="shared" ref="L2:L25" si="0">C2/G2</f>
        <v>0</v>
      </c>
      <c r="M2">
        <f t="shared" ref="M2:M25" si="1">F2/G2</f>
        <v>0.33333333333333331</v>
      </c>
      <c r="N2">
        <f t="shared" ref="N2:N25" si="2">E2/G2</f>
        <v>0</v>
      </c>
      <c r="O2">
        <f>M2+L2+N2+K2</f>
        <v>2.0833333333333335</v>
      </c>
      <c r="P2">
        <f>L2+M2</f>
        <v>0.33333333333333331</v>
      </c>
      <c r="Q2">
        <f>C2+E2/2+F2+J2</f>
        <v>12.5</v>
      </c>
    </row>
    <row r="3" spans="1:20" x14ac:dyDescent="0.25">
      <c r="A3" t="str">
        <f>military_assets!A3</f>
        <v>Gerald R Ford CVN</v>
      </c>
      <c r="B3" t="str">
        <f>military_assets!J3</f>
        <v>Ship</v>
      </c>
      <c r="C3">
        <f>military_assets!E3</f>
        <v>0</v>
      </c>
      <c r="E3">
        <f>military_assets!F3</f>
        <v>0</v>
      </c>
      <c r="F3">
        <f>military_assets!G3</f>
        <v>2</v>
      </c>
      <c r="G3">
        <f>military_assets!H3</f>
        <v>7</v>
      </c>
      <c r="I3" t="str">
        <f>military_assets!I3</f>
        <v>USN</v>
      </c>
      <c r="J3">
        <f>T17+T7+T12+T8</f>
        <v>11</v>
      </c>
      <c r="K3">
        <f t="shared" ref="K3:K25" si="3">J3/G3</f>
        <v>1.5714285714285714</v>
      </c>
      <c r="L3">
        <f t="shared" si="0"/>
        <v>0</v>
      </c>
      <c r="M3">
        <f t="shared" si="1"/>
        <v>0.2857142857142857</v>
      </c>
      <c r="N3">
        <f t="shared" si="2"/>
        <v>0</v>
      </c>
      <c r="O3">
        <f t="shared" ref="O3:O25" si="4">M3+L3+N3+K3</f>
        <v>1.8571428571428572</v>
      </c>
      <c r="P3">
        <f>L3+M3</f>
        <v>0.2857142857142857</v>
      </c>
      <c r="Q3">
        <f t="shared" ref="Q3:Q25" si="5">C3+E3/2+F3+J3</f>
        <v>13</v>
      </c>
    </row>
    <row r="4" spans="1:20" x14ac:dyDescent="0.25">
      <c r="A4" t="str">
        <f>military_assets!A4</f>
        <v>Wasp Class LHA</v>
      </c>
      <c r="B4" t="str">
        <f>military_assets!J4</f>
        <v>Ship</v>
      </c>
      <c r="C4">
        <f>military_assets!E4</f>
        <v>0</v>
      </c>
      <c r="E4">
        <f>military_assets!F4</f>
        <v>4</v>
      </c>
      <c r="F4">
        <f>military_assets!G4</f>
        <v>2</v>
      </c>
      <c r="G4">
        <f>military_assets!H4</f>
        <v>3</v>
      </c>
      <c r="I4" t="str">
        <f>military_assets!I4</f>
        <v>USN</v>
      </c>
      <c r="J4">
        <f>T19+T16</f>
        <v>1.5</v>
      </c>
      <c r="K4">
        <f t="shared" si="3"/>
        <v>0.5</v>
      </c>
      <c r="L4">
        <f t="shared" si="0"/>
        <v>0</v>
      </c>
      <c r="M4">
        <f t="shared" si="1"/>
        <v>0.66666666666666663</v>
      </c>
      <c r="N4">
        <f t="shared" si="2"/>
        <v>1.3333333333333333</v>
      </c>
      <c r="O4">
        <f t="shared" si="4"/>
        <v>2.5</v>
      </c>
      <c r="P4">
        <f>L4+M4</f>
        <v>0.66666666666666663</v>
      </c>
      <c r="Q4">
        <f t="shared" si="5"/>
        <v>5.5</v>
      </c>
      <c r="S4" t="s">
        <v>178</v>
      </c>
    </row>
    <row r="5" spans="1:20" x14ac:dyDescent="0.25">
      <c r="A5" t="str">
        <f>military_assets!A5</f>
        <v>America Class LHA</v>
      </c>
      <c r="B5" t="str">
        <f>military_assets!J5</f>
        <v>Ship</v>
      </c>
      <c r="C5">
        <f>military_assets!E5</f>
        <v>0</v>
      </c>
      <c r="E5">
        <f>military_assets!F5</f>
        <v>3</v>
      </c>
      <c r="F5">
        <f>military_assets!G5</f>
        <v>2</v>
      </c>
      <c r="G5">
        <f>military_assets!H5</f>
        <v>5</v>
      </c>
      <c r="I5" t="str">
        <f>military_assets!I5</f>
        <v>USN</v>
      </c>
      <c r="J5">
        <f>T18+T16</f>
        <v>2.5</v>
      </c>
      <c r="K5">
        <f t="shared" si="3"/>
        <v>0.5</v>
      </c>
      <c r="L5">
        <f t="shared" si="0"/>
        <v>0</v>
      </c>
      <c r="M5">
        <f t="shared" si="1"/>
        <v>0.4</v>
      </c>
      <c r="N5">
        <f t="shared" si="2"/>
        <v>0.6</v>
      </c>
      <c r="O5">
        <f t="shared" si="4"/>
        <v>1.5</v>
      </c>
      <c r="P5">
        <f>L5+M5</f>
        <v>0.4</v>
      </c>
      <c r="Q5">
        <f t="shared" si="5"/>
        <v>6</v>
      </c>
      <c r="S5" t="s">
        <v>179</v>
      </c>
      <c r="T5">
        <v>2</v>
      </c>
    </row>
    <row r="6" spans="1:20" x14ac:dyDescent="0.25">
      <c r="A6" t="str">
        <f>military_assets!A6</f>
        <v>Seawolf Class SSN</v>
      </c>
      <c r="B6" t="str">
        <f>military_assets!J6</f>
        <v>Submarine</v>
      </c>
      <c r="C6">
        <f>military_assets!E6</f>
        <v>4</v>
      </c>
      <c r="E6">
        <f>military_assets!F6</f>
        <v>0</v>
      </c>
      <c r="F6">
        <f>military_assets!G6</f>
        <v>4</v>
      </c>
      <c r="G6">
        <f>military_assets!H6</f>
        <v>5</v>
      </c>
      <c r="I6" t="str">
        <f>military_assets!I6</f>
        <v>USN</v>
      </c>
      <c r="J6">
        <f>T12+T10+T6+T5</f>
        <v>4</v>
      </c>
      <c r="K6">
        <f t="shared" si="3"/>
        <v>0.8</v>
      </c>
      <c r="L6">
        <f t="shared" si="0"/>
        <v>0.8</v>
      </c>
      <c r="M6">
        <f t="shared" si="1"/>
        <v>0.8</v>
      </c>
      <c r="N6">
        <f t="shared" si="2"/>
        <v>0</v>
      </c>
      <c r="O6">
        <f t="shared" si="4"/>
        <v>2.4000000000000004</v>
      </c>
      <c r="P6">
        <f>L6+M6</f>
        <v>1.6</v>
      </c>
      <c r="Q6">
        <f t="shared" si="5"/>
        <v>12</v>
      </c>
      <c r="S6" t="s">
        <v>180</v>
      </c>
      <c r="T6">
        <v>1</v>
      </c>
    </row>
    <row r="7" spans="1:20" x14ac:dyDescent="0.25">
      <c r="A7" t="str">
        <f>military_assets!A7</f>
        <v>Virginia Class SSN</v>
      </c>
      <c r="B7" t="str">
        <f>military_assets!J7</f>
        <v>Submarine</v>
      </c>
      <c r="C7">
        <f>military_assets!E7</f>
        <v>3</v>
      </c>
      <c r="E7">
        <f>military_assets!F7</f>
        <v>0</v>
      </c>
      <c r="F7">
        <f>military_assets!G7</f>
        <v>4</v>
      </c>
      <c r="G7">
        <f>military_assets!H7</f>
        <v>4</v>
      </c>
      <c r="I7" t="str">
        <f>military_assets!I7</f>
        <v>USN</v>
      </c>
      <c r="J7">
        <f>T5+T6+T10</f>
        <v>3.5</v>
      </c>
      <c r="K7">
        <f t="shared" si="3"/>
        <v>0.875</v>
      </c>
      <c r="L7">
        <f t="shared" si="0"/>
        <v>0.75</v>
      </c>
      <c r="M7">
        <f t="shared" si="1"/>
        <v>1</v>
      </c>
      <c r="N7">
        <f t="shared" si="2"/>
        <v>0</v>
      </c>
      <c r="O7">
        <f t="shared" si="4"/>
        <v>2.625</v>
      </c>
      <c r="P7">
        <f t="shared" ref="P7:P25" si="6">L7+M7</f>
        <v>1.75</v>
      </c>
      <c r="Q7">
        <f t="shared" si="5"/>
        <v>10.5</v>
      </c>
      <c r="S7" t="s">
        <v>188</v>
      </c>
      <c r="T7">
        <v>3</v>
      </c>
    </row>
    <row r="8" spans="1:20" x14ac:dyDescent="0.25">
      <c r="A8" t="str">
        <f>military_assets!A8</f>
        <v>Ohio Class SSGN</v>
      </c>
      <c r="B8" t="str">
        <f>military_assets!J8</f>
        <v>Submarine</v>
      </c>
      <c r="C8">
        <f>military_assets!E8</f>
        <v>3</v>
      </c>
      <c r="E8">
        <f>military_assets!F8</f>
        <v>5</v>
      </c>
      <c r="F8">
        <f>military_assets!G8</f>
        <v>2</v>
      </c>
      <c r="G8">
        <f>military_assets!H8</f>
        <v>5</v>
      </c>
      <c r="I8" t="str">
        <f>military_assets!I8</f>
        <v>USN</v>
      </c>
      <c r="J8">
        <f>T5+T6+T12+T10</f>
        <v>4</v>
      </c>
      <c r="K8">
        <f t="shared" si="3"/>
        <v>0.8</v>
      </c>
      <c r="L8">
        <f t="shared" si="0"/>
        <v>0.6</v>
      </c>
      <c r="M8">
        <f t="shared" si="1"/>
        <v>0.4</v>
      </c>
      <c r="N8">
        <f t="shared" si="2"/>
        <v>1</v>
      </c>
      <c r="O8">
        <f t="shared" si="4"/>
        <v>2.8</v>
      </c>
      <c r="P8">
        <f t="shared" si="6"/>
        <v>1</v>
      </c>
      <c r="Q8">
        <f t="shared" si="5"/>
        <v>11.5</v>
      </c>
      <c r="S8" t="s">
        <v>181</v>
      </c>
      <c r="T8">
        <v>3</v>
      </c>
    </row>
    <row r="9" spans="1:20" x14ac:dyDescent="0.25">
      <c r="A9" t="str">
        <f>military_assets!A9</f>
        <v>Ticonderoga Class CG</v>
      </c>
      <c r="B9" t="str">
        <f>military_assets!J9</f>
        <v>Ship</v>
      </c>
      <c r="C9">
        <f>military_assets!E9</f>
        <v>2</v>
      </c>
      <c r="E9">
        <f>military_assets!F9</f>
        <v>3</v>
      </c>
      <c r="F9">
        <f>military_assets!G9</f>
        <v>3</v>
      </c>
      <c r="G9">
        <f>military_assets!H9</f>
        <v>4</v>
      </c>
      <c r="I9" t="str">
        <f>military_assets!I9</f>
        <v>USN</v>
      </c>
      <c r="J9">
        <f>T8</f>
        <v>3</v>
      </c>
      <c r="K9">
        <f t="shared" si="3"/>
        <v>0.75</v>
      </c>
      <c r="L9">
        <f t="shared" si="0"/>
        <v>0.5</v>
      </c>
      <c r="M9">
        <f t="shared" si="1"/>
        <v>0.75</v>
      </c>
      <c r="N9">
        <f t="shared" si="2"/>
        <v>0.75</v>
      </c>
      <c r="O9">
        <f t="shared" si="4"/>
        <v>2.75</v>
      </c>
      <c r="P9">
        <f t="shared" si="6"/>
        <v>1.25</v>
      </c>
      <c r="Q9">
        <f t="shared" si="5"/>
        <v>9.5</v>
      </c>
      <c r="S9" t="s">
        <v>182</v>
      </c>
      <c r="T9">
        <v>1.5</v>
      </c>
    </row>
    <row r="10" spans="1:20" x14ac:dyDescent="0.25">
      <c r="A10" t="str">
        <f>military_assets!A10</f>
        <v>Arleigh Burke Class DDG</v>
      </c>
      <c r="B10" t="str">
        <f>military_assets!J10</f>
        <v>Ship</v>
      </c>
      <c r="C10">
        <f>military_assets!E10</f>
        <v>2</v>
      </c>
      <c r="E10">
        <f>military_assets!F10</f>
        <v>3</v>
      </c>
      <c r="F10">
        <f>military_assets!G10</f>
        <v>2</v>
      </c>
      <c r="G10">
        <f>military_assets!H10</f>
        <v>3</v>
      </c>
      <c r="I10" t="str">
        <f>military_assets!I10</f>
        <v>USN</v>
      </c>
      <c r="J10">
        <f>T8</f>
        <v>3</v>
      </c>
      <c r="K10">
        <f t="shared" si="3"/>
        <v>1</v>
      </c>
      <c r="L10">
        <f t="shared" si="0"/>
        <v>0.66666666666666663</v>
      </c>
      <c r="M10">
        <f t="shared" si="1"/>
        <v>0.66666666666666663</v>
      </c>
      <c r="N10">
        <f t="shared" si="2"/>
        <v>1</v>
      </c>
      <c r="O10">
        <f t="shared" si="4"/>
        <v>3.333333333333333</v>
      </c>
      <c r="P10">
        <f t="shared" si="6"/>
        <v>1.3333333333333333</v>
      </c>
      <c r="Q10">
        <f t="shared" si="5"/>
        <v>8.5</v>
      </c>
      <c r="S10" t="s">
        <v>183</v>
      </c>
      <c r="T10">
        <v>0.5</v>
      </c>
    </row>
    <row r="11" spans="1:20" x14ac:dyDescent="0.25">
      <c r="A11" t="str">
        <f>military_assets!A11</f>
        <v>Zumwalt Class DDG</v>
      </c>
      <c r="B11" t="str">
        <f>military_assets!J11</f>
        <v>Ship</v>
      </c>
      <c r="C11">
        <f>military_assets!E11</f>
        <v>2</v>
      </c>
      <c r="E11">
        <f>military_assets!F11</f>
        <v>4</v>
      </c>
      <c r="F11">
        <f>military_assets!G11</f>
        <v>3</v>
      </c>
      <c r="G11">
        <f>military_assets!H11</f>
        <v>3</v>
      </c>
      <c r="I11" t="str">
        <f>military_assets!I11</f>
        <v>USN</v>
      </c>
      <c r="J11">
        <v>0</v>
      </c>
      <c r="K11">
        <f t="shared" si="3"/>
        <v>0</v>
      </c>
      <c r="L11">
        <f t="shared" si="0"/>
        <v>0.66666666666666663</v>
      </c>
      <c r="M11">
        <f t="shared" si="1"/>
        <v>1</v>
      </c>
      <c r="N11">
        <f t="shared" si="2"/>
        <v>1.3333333333333333</v>
      </c>
      <c r="O11">
        <f t="shared" si="4"/>
        <v>3</v>
      </c>
      <c r="P11">
        <f t="shared" si="6"/>
        <v>1.6666666666666665</v>
      </c>
      <c r="Q11">
        <f t="shared" si="5"/>
        <v>7</v>
      </c>
      <c r="S11" t="s">
        <v>184</v>
      </c>
      <c r="T11">
        <v>-2</v>
      </c>
    </row>
    <row r="12" spans="1:20" x14ac:dyDescent="0.25">
      <c r="A12" t="str">
        <f>military_assets!A12</f>
        <v>F/A-18E Superhornet</v>
      </c>
      <c r="B12" t="str">
        <f>military_assets!J12</f>
        <v>Squadron</v>
      </c>
      <c r="C12">
        <f>military_assets!E12</f>
        <v>4</v>
      </c>
      <c r="E12">
        <f>military_assets!F12</f>
        <v>4</v>
      </c>
      <c r="F12">
        <f>military_assets!G12</f>
        <v>3</v>
      </c>
      <c r="G12">
        <f>military_assets!H12</f>
        <v>2</v>
      </c>
      <c r="I12" t="str">
        <f>military_assets!I12</f>
        <v>USN</v>
      </c>
      <c r="J12">
        <f>T10+T15</f>
        <v>-1.5</v>
      </c>
      <c r="K12">
        <f t="shared" si="3"/>
        <v>-0.75</v>
      </c>
      <c r="L12">
        <f t="shared" si="0"/>
        <v>2</v>
      </c>
      <c r="M12">
        <f t="shared" si="1"/>
        <v>1.5</v>
      </c>
      <c r="N12">
        <f t="shared" si="2"/>
        <v>2</v>
      </c>
      <c r="O12">
        <f t="shared" si="4"/>
        <v>4.75</v>
      </c>
      <c r="P12">
        <f t="shared" si="6"/>
        <v>3.5</v>
      </c>
      <c r="Q12">
        <f t="shared" si="5"/>
        <v>7.5</v>
      </c>
      <c r="S12" t="s">
        <v>189</v>
      </c>
      <c r="T12">
        <v>0.5</v>
      </c>
    </row>
    <row r="13" spans="1:20" x14ac:dyDescent="0.25">
      <c r="A13" t="str">
        <f>military_assets!A13</f>
        <v>F-35B Lightning II</v>
      </c>
      <c r="B13" t="str">
        <f>military_assets!J13</f>
        <v>Squadron</v>
      </c>
      <c r="C13">
        <f>military_assets!E13</f>
        <v>4</v>
      </c>
      <c r="E13">
        <f>military_assets!F13</f>
        <v>3</v>
      </c>
      <c r="F13">
        <f>military_assets!G13</f>
        <v>2</v>
      </c>
      <c r="G13">
        <f>military_assets!H13</f>
        <v>3</v>
      </c>
      <c r="I13" t="str">
        <f>military_assets!I13</f>
        <v>USN</v>
      </c>
      <c r="J13">
        <f>T15+T5+T10</f>
        <v>0.5</v>
      </c>
      <c r="K13">
        <f t="shared" si="3"/>
        <v>0.16666666666666666</v>
      </c>
      <c r="L13">
        <f t="shared" si="0"/>
        <v>1.3333333333333333</v>
      </c>
      <c r="M13">
        <f t="shared" si="1"/>
        <v>0.66666666666666663</v>
      </c>
      <c r="N13">
        <f t="shared" si="2"/>
        <v>1</v>
      </c>
      <c r="O13">
        <f t="shared" si="4"/>
        <v>3.1666666666666665</v>
      </c>
      <c r="P13">
        <f t="shared" si="6"/>
        <v>2</v>
      </c>
      <c r="Q13">
        <f t="shared" si="5"/>
        <v>8</v>
      </c>
      <c r="S13" t="s">
        <v>185</v>
      </c>
      <c r="T13">
        <v>2</v>
      </c>
    </row>
    <row r="14" spans="1:20" x14ac:dyDescent="0.25">
      <c r="A14" t="str">
        <f>military_assets!A14</f>
        <v>F-35C  Lightning II</v>
      </c>
      <c r="B14" t="str">
        <f>military_assets!J14</f>
        <v>Squadron</v>
      </c>
      <c r="C14">
        <f>military_assets!E14</f>
        <v>4</v>
      </c>
      <c r="E14">
        <f>military_assets!F14</f>
        <v>4</v>
      </c>
      <c r="F14">
        <f>military_assets!G14</f>
        <v>2</v>
      </c>
      <c r="G14">
        <f>military_assets!H14</f>
        <v>2</v>
      </c>
      <c r="I14" t="str">
        <f>military_assets!I14</f>
        <v>USN</v>
      </c>
      <c r="J14">
        <f>T5+T10+T15</f>
        <v>0.5</v>
      </c>
      <c r="K14">
        <f t="shared" si="3"/>
        <v>0.25</v>
      </c>
      <c r="L14">
        <f t="shared" si="0"/>
        <v>2</v>
      </c>
      <c r="M14">
        <f t="shared" si="1"/>
        <v>1</v>
      </c>
      <c r="N14">
        <f t="shared" si="2"/>
        <v>2</v>
      </c>
      <c r="O14">
        <f t="shared" si="4"/>
        <v>5.25</v>
      </c>
      <c r="P14">
        <f t="shared" si="6"/>
        <v>3</v>
      </c>
      <c r="Q14">
        <f t="shared" si="5"/>
        <v>8.5</v>
      </c>
    </row>
    <row r="15" spans="1:20" x14ac:dyDescent="0.25">
      <c r="A15" t="str">
        <f>military_assets!A15</f>
        <v>AV-8B Harrier II</v>
      </c>
      <c r="B15" t="str">
        <f>military_assets!J15</f>
        <v>Squadron</v>
      </c>
      <c r="C15">
        <f>military_assets!E15</f>
        <v>3</v>
      </c>
      <c r="E15">
        <f>military_assets!F15</f>
        <v>3</v>
      </c>
      <c r="F15">
        <f>military_assets!G15</f>
        <v>2</v>
      </c>
      <c r="G15">
        <f>military_assets!H15</f>
        <v>1</v>
      </c>
      <c r="I15" t="str">
        <f>military_assets!I15</f>
        <v>USN</v>
      </c>
      <c r="J15">
        <f>T10+T15</f>
        <v>-1.5</v>
      </c>
      <c r="K15">
        <f t="shared" si="3"/>
        <v>-1.5</v>
      </c>
      <c r="L15">
        <f t="shared" si="0"/>
        <v>3</v>
      </c>
      <c r="M15">
        <f t="shared" si="1"/>
        <v>2</v>
      </c>
      <c r="N15">
        <f t="shared" si="2"/>
        <v>3</v>
      </c>
      <c r="O15">
        <f t="shared" si="4"/>
        <v>6.5</v>
      </c>
      <c r="P15">
        <f t="shared" si="6"/>
        <v>5</v>
      </c>
      <c r="Q15">
        <f t="shared" si="5"/>
        <v>5</v>
      </c>
      <c r="S15" t="s">
        <v>190</v>
      </c>
      <c r="T15">
        <v>-2</v>
      </c>
    </row>
    <row r="16" spans="1:20" x14ac:dyDescent="0.25">
      <c r="A16" t="str">
        <f>military_assets!A16</f>
        <v>Kuznetsov Class CV</v>
      </c>
      <c r="B16" t="str">
        <f>military_assets!J16</f>
        <v>Ship</v>
      </c>
      <c r="C16">
        <f>military_assets!E16</f>
        <v>4</v>
      </c>
      <c r="E16">
        <f>military_assets!F16</f>
        <v>2</v>
      </c>
      <c r="F16">
        <f>military_assets!G16</f>
        <v>2</v>
      </c>
      <c r="G16">
        <f>military_assets!H16</f>
        <v>6</v>
      </c>
      <c r="I16" t="str">
        <f>military_assets!I16</f>
        <v>RUS</v>
      </c>
      <c r="J16">
        <f>T19+T8</f>
        <v>6</v>
      </c>
      <c r="K16">
        <f t="shared" si="3"/>
        <v>1</v>
      </c>
      <c r="L16">
        <f t="shared" si="0"/>
        <v>0.66666666666666663</v>
      </c>
      <c r="M16">
        <f t="shared" si="1"/>
        <v>0.33333333333333331</v>
      </c>
      <c r="N16">
        <f t="shared" si="2"/>
        <v>0.33333333333333331</v>
      </c>
      <c r="O16">
        <f t="shared" si="4"/>
        <v>2.333333333333333</v>
      </c>
      <c r="P16">
        <f t="shared" si="6"/>
        <v>1</v>
      </c>
      <c r="Q16">
        <f t="shared" si="5"/>
        <v>13</v>
      </c>
      <c r="S16" t="s">
        <v>193</v>
      </c>
      <c r="T16">
        <v>-1.5</v>
      </c>
    </row>
    <row r="17" spans="1:20" x14ac:dyDescent="0.25">
      <c r="A17" t="str">
        <f>military_assets!A17</f>
        <v>Kirov Class CGN</v>
      </c>
      <c r="B17" t="str">
        <f>military_assets!J17</f>
        <v>Ship</v>
      </c>
      <c r="C17">
        <f>military_assets!E17</f>
        <v>6</v>
      </c>
      <c r="E17">
        <f>military_assets!F17</f>
        <v>2</v>
      </c>
      <c r="F17">
        <f>military_assets!G17</f>
        <v>4</v>
      </c>
      <c r="G17">
        <f>military_assets!H17</f>
        <v>6</v>
      </c>
      <c r="I17" t="str">
        <f>military_assets!I17</f>
        <v>RUS</v>
      </c>
      <c r="J17">
        <f>T9</f>
        <v>1.5</v>
      </c>
      <c r="K17">
        <f t="shared" si="3"/>
        <v>0.25</v>
      </c>
      <c r="L17">
        <f t="shared" si="0"/>
        <v>1</v>
      </c>
      <c r="M17">
        <f t="shared" si="1"/>
        <v>0.66666666666666663</v>
      </c>
      <c r="N17">
        <f t="shared" si="2"/>
        <v>0.33333333333333331</v>
      </c>
      <c r="O17">
        <f t="shared" si="4"/>
        <v>2.25</v>
      </c>
      <c r="P17">
        <f t="shared" si="6"/>
        <v>1.6666666666666665</v>
      </c>
      <c r="Q17">
        <f t="shared" si="5"/>
        <v>12.5</v>
      </c>
      <c r="S17" t="s">
        <v>210</v>
      </c>
      <c r="T17">
        <v>4.5</v>
      </c>
    </row>
    <row r="18" spans="1:20" x14ac:dyDescent="0.25">
      <c r="A18" t="str">
        <f>military_assets!A18</f>
        <v>Slava Class CG</v>
      </c>
      <c r="B18" t="str">
        <f>military_assets!J18</f>
        <v>Ship</v>
      </c>
      <c r="C18">
        <f>military_assets!E18</f>
        <v>4</v>
      </c>
      <c r="E18">
        <f>military_assets!F18</f>
        <v>2</v>
      </c>
      <c r="F18">
        <f>military_assets!G18</f>
        <v>2</v>
      </c>
      <c r="G18">
        <f>military_assets!H18</f>
        <v>3</v>
      </c>
      <c r="I18" t="str">
        <f>military_assets!I18</f>
        <v>RUS</v>
      </c>
      <c r="J18">
        <f>T9</f>
        <v>1.5</v>
      </c>
      <c r="K18">
        <f t="shared" si="3"/>
        <v>0.5</v>
      </c>
      <c r="L18">
        <f t="shared" si="0"/>
        <v>1.3333333333333333</v>
      </c>
      <c r="M18">
        <f t="shared" si="1"/>
        <v>0.66666666666666663</v>
      </c>
      <c r="N18">
        <f t="shared" si="2"/>
        <v>0.66666666666666663</v>
      </c>
      <c r="O18">
        <f t="shared" si="4"/>
        <v>3.1666666666666665</v>
      </c>
      <c r="P18">
        <f t="shared" si="6"/>
        <v>2</v>
      </c>
      <c r="Q18">
        <f t="shared" si="5"/>
        <v>8.5</v>
      </c>
      <c r="S18" t="s">
        <v>211</v>
      </c>
      <c r="T18">
        <v>4</v>
      </c>
    </row>
    <row r="19" spans="1:20" x14ac:dyDescent="0.25">
      <c r="A19" t="str">
        <f>military_assets!A19</f>
        <v>Udaloy II Class DDG</v>
      </c>
      <c r="B19" t="str">
        <f>military_assets!J19</f>
        <v>Ship</v>
      </c>
      <c r="C19">
        <f>military_assets!E19</f>
        <v>3</v>
      </c>
      <c r="E19">
        <f>military_assets!F19</f>
        <v>2</v>
      </c>
      <c r="F19">
        <f>military_assets!G19</f>
        <v>3</v>
      </c>
      <c r="G19">
        <f>military_assets!H19</f>
        <v>2</v>
      </c>
      <c r="I19" t="str">
        <f>military_assets!I19</f>
        <v>RUS</v>
      </c>
      <c r="J19">
        <v>0</v>
      </c>
      <c r="K19">
        <f t="shared" si="3"/>
        <v>0</v>
      </c>
      <c r="L19">
        <f t="shared" si="0"/>
        <v>1.5</v>
      </c>
      <c r="M19">
        <f t="shared" si="1"/>
        <v>1.5</v>
      </c>
      <c r="N19">
        <f t="shared" si="2"/>
        <v>1</v>
      </c>
      <c r="O19">
        <f t="shared" si="4"/>
        <v>4</v>
      </c>
      <c r="P19">
        <f t="shared" si="6"/>
        <v>3</v>
      </c>
      <c r="Q19">
        <f t="shared" si="5"/>
        <v>7</v>
      </c>
      <c r="S19" t="s">
        <v>212</v>
      </c>
      <c r="T19">
        <v>3</v>
      </c>
    </row>
    <row r="20" spans="1:20" x14ac:dyDescent="0.25">
      <c r="A20" t="str">
        <f>military_assets!A20</f>
        <v>Gorshkov Class FFG</v>
      </c>
      <c r="B20" t="str">
        <f>military_assets!J20</f>
        <v>Ship</v>
      </c>
      <c r="C20">
        <f>military_assets!E20</f>
        <v>3</v>
      </c>
      <c r="E20">
        <f>military_assets!F20</f>
        <v>2</v>
      </c>
      <c r="F20">
        <f>military_assets!G20</f>
        <v>2</v>
      </c>
      <c r="G20">
        <f>military_assets!H20</f>
        <v>2</v>
      </c>
      <c r="I20" t="str">
        <f>military_assets!I20</f>
        <v>RUS</v>
      </c>
      <c r="J20">
        <f>T10</f>
        <v>0.5</v>
      </c>
      <c r="K20">
        <f t="shared" si="3"/>
        <v>0.25</v>
      </c>
      <c r="L20">
        <f t="shared" si="0"/>
        <v>1.5</v>
      </c>
      <c r="M20">
        <f t="shared" si="1"/>
        <v>1</v>
      </c>
      <c r="N20">
        <f t="shared" si="2"/>
        <v>1</v>
      </c>
      <c r="O20">
        <f t="shared" si="4"/>
        <v>3.75</v>
      </c>
      <c r="P20">
        <f t="shared" si="6"/>
        <v>2.5</v>
      </c>
      <c r="Q20">
        <f t="shared" si="5"/>
        <v>6.5</v>
      </c>
    </row>
    <row r="21" spans="1:20" x14ac:dyDescent="0.25">
      <c r="A21" t="str">
        <f>military_assets!A21</f>
        <v>Yasen Class SSGN</v>
      </c>
      <c r="B21" t="str">
        <f>military_assets!J21</f>
        <v>Submarine</v>
      </c>
      <c r="C21">
        <f>military_assets!E21</f>
        <v>5</v>
      </c>
      <c r="E21">
        <f>military_assets!F21</f>
        <v>0</v>
      </c>
      <c r="F21">
        <f>military_assets!G21</f>
        <v>3</v>
      </c>
      <c r="G21">
        <f>military_assets!H21</f>
        <v>5</v>
      </c>
      <c r="I21" t="str">
        <f>military_assets!I21</f>
        <v>RUS</v>
      </c>
      <c r="J21">
        <f>T5+T6+T10</f>
        <v>3.5</v>
      </c>
      <c r="K21">
        <f t="shared" si="3"/>
        <v>0.7</v>
      </c>
      <c r="L21">
        <f t="shared" si="0"/>
        <v>1</v>
      </c>
      <c r="M21">
        <f t="shared" si="1"/>
        <v>0.6</v>
      </c>
      <c r="N21">
        <f t="shared" si="2"/>
        <v>0</v>
      </c>
      <c r="O21">
        <f t="shared" si="4"/>
        <v>2.2999999999999998</v>
      </c>
      <c r="P21">
        <f t="shared" si="6"/>
        <v>1.6</v>
      </c>
      <c r="Q21">
        <f t="shared" si="5"/>
        <v>11.5</v>
      </c>
    </row>
    <row r="22" spans="1:20" x14ac:dyDescent="0.25">
      <c r="A22" t="str">
        <f>military_assets!A22</f>
        <v>Lada Class SSK</v>
      </c>
      <c r="B22" t="str">
        <f>military_assets!J22</f>
        <v>Submarine</v>
      </c>
      <c r="C22">
        <f>military_assets!E22</f>
        <v>3</v>
      </c>
      <c r="E22">
        <f>military_assets!F22</f>
        <v>0</v>
      </c>
      <c r="F22">
        <f>military_assets!G22</f>
        <v>2</v>
      </c>
      <c r="G22">
        <f>military_assets!H22</f>
        <v>2</v>
      </c>
      <c r="I22" t="str">
        <f>military_assets!I22</f>
        <v>RUS</v>
      </c>
      <c r="J22">
        <f>T5+T10+T11</f>
        <v>0.5</v>
      </c>
      <c r="K22">
        <f t="shared" si="3"/>
        <v>0.25</v>
      </c>
      <c r="L22">
        <f t="shared" si="0"/>
        <v>1.5</v>
      </c>
      <c r="M22">
        <f t="shared" si="1"/>
        <v>1</v>
      </c>
      <c r="N22">
        <f t="shared" si="2"/>
        <v>0</v>
      </c>
      <c r="O22">
        <f t="shared" si="4"/>
        <v>2.75</v>
      </c>
      <c r="P22">
        <f t="shared" si="6"/>
        <v>2.5</v>
      </c>
      <c r="Q22">
        <f t="shared" si="5"/>
        <v>5.5</v>
      </c>
    </row>
    <row r="23" spans="1:20" x14ac:dyDescent="0.25">
      <c r="A23" t="str">
        <f>military_assets!A23</f>
        <v>Oscar II Class SSGN</v>
      </c>
      <c r="B23" t="str">
        <f>military_assets!J23</f>
        <v>Submarine</v>
      </c>
      <c r="C23">
        <f>military_assets!E23</f>
        <v>4</v>
      </c>
      <c r="E23">
        <f>military_assets!F23</f>
        <v>0</v>
      </c>
      <c r="F23">
        <f>military_assets!G23</f>
        <v>1</v>
      </c>
      <c r="G23">
        <f>military_assets!H23</f>
        <v>3</v>
      </c>
      <c r="I23" t="str">
        <f>military_assets!I23</f>
        <v>RUS</v>
      </c>
      <c r="J23">
        <f>T5+T6+T12+T10</f>
        <v>4</v>
      </c>
      <c r="K23">
        <f t="shared" si="3"/>
        <v>1.3333333333333333</v>
      </c>
      <c r="L23">
        <f t="shared" si="0"/>
        <v>1.3333333333333333</v>
      </c>
      <c r="M23">
        <f t="shared" si="1"/>
        <v>0.33333333333333331</v>
      </c>
      <c r="N23">
        <f t="shared" si="2"/>
        <v>0</v>
      </c>
      <c r="O23">
        <f t="shared" si="4"/>
        <v>3</v>
      </c>
      <c r="P23">
        <f t="shared" si="6"/>
        <v>1.6666666666666665</v>
      </c>
      <c r="Q23">
        <f t="shared" si="5"/>
        <v>9</v>
      </c>
    </row>
    <row r="24" spans="1:20" x14ac:dyDescent="0.25">
      <c r="A24" t="str">
        <f>military_assets!A24</f>
        <v>Mig-29K Fulcrum-D</v>
      </c>
      <c r="B24" t="str">
        <f>military_assets!J24</f>
        <v>Squadron</v>
      </c>
      <c r="C24">
        <f>military_assets!E24</f>
        <v>4</v>
      </c>
      <c r="E24">
        <f>military_assets!F24</f>
        <v>3</v>
      </c>
      <c r="F24">
        <f>military_assets!G24</f>
        <v>3</v>
      </c>
      <c r="G24">
        <f>military_assets!H24</f>
        <v>1</v>
      </c>
      <c r="I24" t="str">
        <f>military_assets!I24</f>
        <v>RUS</v>
      </c>
      <c r="J24">
        <f>T10+T15</f>
        <v>-1.5</v>
      </c>
      <c r="K24">
        <f t="shared" si="3"/>
        <v>-1.5</v>
      </c>
      <c r="L24">
        <f t="shared" si="0"/>
        <v>4</v>
      </c>
      <c r="M24">
        <f t="shared" si="1"/>
        <v>3</v>
      </c>
      <c r="N24">
        <f t="shared" si="2"/>
        <v>3</v>
      </c>
      <c r="O24">
        <f t="shared" si="4"/>
        <v>8.5</v>
      </c>
      <c r="P24">
        <f t="shared" si="6"/>
        <v>7</v>
      </c>
      <c r="Q24">
        <f t="shared" si="5"/>
        <v>7</v>
      </c>
    </row>
    <row r="25" spans="1:20" x14ac:dyDescent="0.25">
      <c r="A25" t="str">
        <f>military_assets!A25</f>
        <v>Su-33 Flanker-D</v>
      </c>
      <c r="B25" t="str">
        <f>military_assets!J25</f>
        <v>Squadron</v>
      </c>
      <c r="C25">
        <f>military_assets!E25</f>
        <v>4</v>
      </c>
      <c r="E25">
        <f>military_assets!F25</f>
        <v>4</v>
      </c>
      <c r="F25">
        <f>military_assets!G25</f>
        <v>3</v>
      </c>
      <c r="G25">
        <f>military_assets!H25</f>
        <v>1</v>
      </c>
      <c r="I25" t="str">
        <f>military_assets!I25</f>
        <v>RUS</v>
      </c>
      <c r="J25">
        <f>T10+T15</f>
        <v>-1.5</v>
      </c>
      <c r="K25">
        <f t="shared" si="3"/>
        <v>-1.5</v>
      </c>
      <c r="L25">
        <f t="shared" si="0"/>
        <v>4</v>
      </c>
      <c r="M25">
        <f t="shared" si="1"/>
        <v>3</v>
      </c>
      <c r="N25">
        <f t="shared" si="2"/>
        <v>4</v>
      </c>
      <c r="O25">
        <f t="shared" si="4"/>
        <v>9.5</v>
      </c>
      <c r="P25">
        <f t="shared" si="6"/>
        <v>7</v>
      </c>
      <c r="Q25">
        <f t="shared" si="5"/>
        <v>7.5</v>
      </c>
    </row>
    <row r="26" spans="1:20" x14ac:dyDescent="0.25">
      <c r="A26" t="str">
        <f>military_assets!A26</f>
        <v>Victor III Class SSN</v>
      </c>
      <c r="B26" t="str">
        <f>military_assets!J26</f>
        <v>Submarine</v>
      </c>
      <c r="C26">
        <f>military_assets!E26</f>
        <v>2</v>
      </c>
      <c r="E26">
        <f>military_assets!F26</f>
        <v>0</v>
      </c>
      <c r="F26">
        <f>military_assets!G26</f>
        <v>1</v>
      </c>
      <c r="G26">
        <f>military_assets!H26</f>
        <v>1</v>
      </c>
      <c r="I26" t="str">
        <f>military_assets!I26</f>
        <v>RUS</v>
      </c>
      <c r="J26">
        <f>T5+T10+T6</f>
        <v>3.5</v>
      </c>
      <c r="K26">
        <f>J26/G26</f>
        <v>3.5</v>
      </c>
      <c r="L26">
        <f>C26/G26</f>
        <v>2</v>
      </c>
      <c r="M26">
        <f>F26/G26</f>
        <v>1</v>
      </c>
      <c r="N26">
        <f>E26/G26</f>
        <v>0</v>
      </c>
      <c r="O26">
        <f>M26+L26+N26+K26</f>
        <v>6.5</v>
      </c>
      <c r="P26">
        <f>L26+M26</f>
        <v>3</v>
      </c>
      <c r="Q26">
        <f>C26+E26/2+F26+J26</f>
        <v>6.5</v>
      </c>
    </row>
    <row r="27" spans="1:20" x14ac:dyDescent="0.25">
      <c r="A27" t="str">
        <f>military_assets!A27</f>
        <v>Akula Class SSN</v>
      </c>
      <c r="B27" t="str">
        <f>military_assets!J27</f>
        <v>Submarine</v>
      </c>
      <c r="C27">
        <f>military_assets!E27</f>
        <v>3</v>
      </c>
      <c r="E27">
        <f>military_assets!F27</f>
        <v>0</v>
      </c>
      <c r="F27">
        <f>military_assets!G27</f>
        <v>3</v>
      </c>
      <c r="G27">
        <f>military_assets!H27</f>
        <v>3</v>
      </c>
      <c r="I27" t="str">
        <f>military_assets!I27</f>
        <v>RUS</v>
      </c>
      <c r="J27">
        <f>T5+T6+T10</f>
        <v>3.5</v>
      </c>
      <c r="K27">
        <f>J27/G27</f>
        <v>1.1666666666666667</v>
      </c>
      <c r="L27">
        <f>C27/G27</f>
        <v>1</v>
      </c>
      <c r="M27">
        <f>F27/G27</f>
        <v>1</v>
      </c>
      <c r="N27">
        <f>E27/G27</f>
        <v>0</v>
      </c>
      <c r="O27">
        <f>M27+L27+N27+K27</f>
        <v>3.166666666666667</v>
      </c>
      <c r="P27">
        <f>L27+M27</f>
        <v>2</v>
      </c>
      <c r="Q27">
        <f>C27+E27/2+F27+J27</f>
        <v>9.5</v>
      </c>
    </row>
    <row r="28" spans="1:20" x14ac:dyDescent="0.25">
      <c r="A28" t="str">
        <f>military_assets!A28</f>
        <v>Sovremanny Class DDG</v>
      </c>
      <c r="B28" t="str">
        <f>military_assets!J28</f>
        <v>Ship</v>
      </c>
      <c r="C28">
        <f>military_assets!E28</f>
        <v>2</v>
      </c>
      <c r="E28">
        <f>military_assets!F28</f>
        <v>0</v>
      </c>
      <c r="F28">
        <f>military_assets!G28</f>
        <v>2</v>
      </c>
      <c r="G28">
        <f>military_assets!H28</f>
        <v>1</v>
      </c>
      <c r="I28" t="str">
        <f>military_assets!I28</f>
        <v>RUS</v>
      </c>
      <c r="J28">
        <v>0</v>
      </c>
      <c r="K28">
        <f>J28/G28</f>
        <v>0</v>
      </c>
      <c r="L28">
        <f>C28/G28</f>
        <v>2</v>
      </c>
      <c r="M28">
        <f>F28/G28</f>
        <v>2</v>
      </c>
      <c r="N28">
        <f>E28/G28</f>
        <v>0</v>
      </c>
      <c r="O28">
        <f>M28+L28+N28+K28</f>
        <v>4</v>
      </c>
      <c r="P28">
        <f>L28+M28</f>
        <v>4</v>
      </c>
      <c r="Q28">
        <f>C28+E28/2+F28+J28</f>
        <v>4</v>
      </c>
    </row>
    <row r="31" spans="1:20" x14ac:dyDescent="0.25">
      <c r="M31" t="s">
        <v>214</v>
      </c>
      <c r="N31" t="s">
        <v>17</v>
      </c>
      <c r="O31" t="s">
        <v>191</v>
      </c>
    </row>
    <row r="32" spans="1:20" x14ac:dyDescent="0.25">
      <c r="N32">
        <f t="shared" ref="N32:N58" si="7">G2</f>
        <v>6</v>
      </c>
      <c r="O32">
        <f t="shared" ref="O32:O58" si="8">Q2</f>
        <v>12.5</v>
      </c>
    </row>
    <row r="33" spans="14:15" x14ac:dyDescent="0.25">
      <c r="N33">
        <f t="shared" si="7"/>
        <v>7</v>
      </c>
      <c r="O33">
        <f t="shared" si="8"/>
        <v>13</v>
      </c>
    </row>
    <row r="34" spans="14:15" x14ac:dyDescent="0.25">
      <c r="N34">
        <f t="shared" si="7"/>
        <v>3</v>
      </c>
      <c r="O34">
        <f t="shared" si="8"/>
        <v>5.5</v>
      </c>
    </row>
    <row r="35" spans="14:15" x14ac:dyDescent="0.25">
      <c r="N35">
        <f t="shared" si="7"/>
        <v>5</v>
      </c>
      <c r="O35">
        <f t="shared" si="8"/>
        <v>6</v>
      </c>
    </row>
    <row r="36" spans="14:15" x14ac:dyDescent="0.25">
      <c r="N36">
        <f t="shared" si="7"/>
        <v>5</v>
      </c>
      <c r="O36">
        <f t="shared" si="8"/>
        <v>12</v>
      </c>
    </row>
    <row r="37" spans="14:15" x14ac:dyDescent="0.25">
      <c r="N37">
        <f t="shared" si="7"/>
        <v>4</v>
      </c>
      <c r="O37">
        <f t="shared" si="8"/>
        <v>10.5</v>
      </c>
    </row>
    <row r="38" spans="14:15" x14ac:dyDescent="0.25">
      <c r="N38">
        <f t="shared" si="7"/>
        <v>5</v>
      </c>
      <c r="O38">
        <f t="shared" si="8"/>
        <v>11.5</v>
      </c>
    </row>
    <row r="39" spans="14:15" x14ac:dyDescent="0.25">
      <c r="N39">
        <f t="shared" si="7"/>
        <v>4</v>
      </c>
      <c r="O39">
        <f t="shared" si="8"/>
        <v>9.5</v>
      </c>
    </row>
    <row r="40" spans="14:15" x14ac:dyDescent="0.25">
      <c r="N40">
        <f t="shared" si="7"/>
        <v>3</v>
      </c>
      <c r="O40">
        <f t="shared" si="8"/>
        <v>8.5</v>
      </c>
    </row>
    <row r="41" spans="14:15" x14ac:dyDescent="0.25">
      <c r="N41">
        <f t="shared" si="7"/>
        <v>3</v>
      </c>
      <c r="O41">
        <f t="shared" si="8"/>
        <v>7</v>
      </c>
    </row>
    <row r="42" spans="14:15" x14ac:dyDescent="0.25">
      <c r="N42">
        <f t="shared" si="7"/>
        <v>2</v>
      </c>
      <c r="O42">
        <f t="shared" si="8"/>
        <v>7.5</v>
      </c>
    </row>
    <row r="43" spans="14:15" x14ac:dyDescent="0.25">
      <c r="N43">
        <f t="shared" si="7"/>
        <v>3</v>
      </c>
      <c r="O43">
        <f t="shared" si="8"/>
        <v>8</v>
      </c>
    </row>
    <row r="44" spans="14:15" x14ac:dyDescent="0.25">
      <c r="N44">
        <f t="shared" si="7"/>
        <v>2</v>
      </c>
      <c r="O44">
        <f t="shared" si="8"/>
        <v>8.5</v>
      </c>
    </row>
    <row r="45" spans="14:15" x14ac:dyDescent="0.25">
      <c r="N45">
        <f t="shared" si="7"/>
        <v>1</v>
      </c>
      <c r="O45">
        <f t="shared" si="8"/>
        <v>5</v>
      </c>
    </row>
    <row r="46" spans="14:15" x14ac:dyDescent="0.25">
      <c r="N46">
        <f t="shared" si="7"/>
        <v>6</v>
      </c>
      <c r="O46">
        <f t="shared" si="8"/>
        <v>13</v>
      </c>
    </row>
    <row r="47" spans="14:15" x14ac:dyDescent="0.25">
      <c r="N47">
        <f t="shared" si="7"/>
        <v>6</v>
      </c>
      <c r="O47">
        <f t="shared" si="8"/>
        <v>12.5</v>
      </c>
    </row>
    <row r="48" spans="14:15" x14ac:dyDescent="0.25">
      <c r="N48">
        <f t="shared" si="7"/>
        <v>3</v>
      </c>
      <c r="O48">
        <f t="shared" si="8"/>
        <v>8.5</v>
      </c>
    </row>
    <row r="49" spans="14:15" x14ac:dyDescent="0.25">
      <c r="N49">
        <f t="shared" si="7"/>
        <v>2</v>
      </c>
      <c r="O49">
        <f t="shared" si="8"/>
        <v>7</v>
      </c>
    </row>
    <row r="50" spans="14:15" x14ac:dyDescent="0.25">
      <c r="N50">
        <f t="shared" si="7"/>
        <v>2</v>
      </c>
      <c r="O50">
        <f t="shared" si="8"/>
        <v>6.5</v>
      </c>
    </row>
    <row r="51" spans="14:15" x14ac:dyDescent="0.25">
      <c r="N51">
        <f t="shared" si="7"/>
        <v>5</v>
      </c>
      <c r="O51">
        <f t="shared" si="8"/>
        <v>11.5</v>
      </c>
    </row>
    <row r="52" spans="14:15" x14ac:dyDescent="0.25">
      <c r="N52">
        <f t="shared" si="7"/>
        <v>2</v>
      </c>
      <c r="O52">
        <f t="shared" si="8"/>
        <v>5.5</v>
      </c>
    </row>
    <row r="53" spans="14:15" x14ac:dyDescent="0.25">
      <c r="N53">
        <f t="shared" si="7"/>
        <v>3</v>
      </c>
      <c r="O53">
        <f t="shared" si="8"/>
        <v>9</v>
      </c>
    </row>
    <row r="54" spans="14:15" x14ac:dyDescent="0.25">
      <c r="N54">
        <f t="shared" si="7"/>
        <v>1</v>
      </c>
      <c r="O54">
        <f t="shared" si="8"/>
        <v>7</v>
      </c>
    </row>
    <row r="55" spans="14:15" x14ac:dyDescent="0.25">
      <c r="N55">
        <f t="shared" si="7"/>
        <v>1</v>
      </c>
      <c r="O55">
        <f t="shared" si="8"/>
        <v>7.5</v>
      </c>
    </row>
    <row r="56" spans="14:15" x14ac:dyDescent="0.25">
      <c r="N56">
        <f t="shared" si="7"/>
        <v>1</v>
      </c>
      <c r="O56">
        <f t="shared" si="8"/>
        <v>6.5</v>
      </c>
    </row>
    <row r="57" spans="14:15" x14ac:dyDescent="0.25">
      <c r="N57">
        <f t="shared" si="7"/>
        <v>3</v>
      </c>
      <c r="O57">
        <f t="shared" si="8"/>
        <v>9.5</v>
      </c>
    </row>
    <row r="58" spans="14:15" x14ac:dyDescent="0.25">
      <c r="N58">
        <f t="shared" si="7"/>
        <v>1</v>
      </c>
      <c r="O58">
        <f t="shared" si="8"/>
        <v>4</v>
      </c>
    </row>
  </sheetData>
  <conditionalFormatting sqref="O31:O32 O1:O25 O59:O1048576">
    <cfRule type="colorScale" priority="12">
      <colorScale>
        <cfvo type="min"/>
        <cfvo type="percentile" val="50"/>
        <cfvo type="max"/>
        <color rgb="FFF8696B"/>
        <color rgb="FFFFEB84"/>
        <color rgb="FF63BE7B"/>
      </colorScale>
    </cfRule>
  </conditionalFormatting>
  <conditionalFormatting sqref="P29:P1048576 P1:P25 Q1">
    <cfRule type="colorScale" priority="11">
      <colorScale>
        <cfvo type="min"/>
        <cfvo type="percentile" val="50"/>
        <cfvo type="max"/>
        <color rgb="FFF8696B"/>
        <color rgb="FFFFEB84"/>
        <color rgb="FF63BE7B"/>
      </colorScale>
    </cfRule>
  </conditionalFormatting>
  <conditionalFormatting sqref="O33:O55">
    <cfRule type="colorScale" priority="10">
      <colorScale>
        <cfvo type="min"/>
        <cfvo type="percentile" val="50"/>
        <cfvo type="max"/>
        <color rgb="FFF8696B"/>
        <color rgb="FFFFEB84"/>
        <color rgb="FF63BE7B"/>
      </colorScale>
    </cfRule>
  </conditionalFormatting>
  <conditionalFormatting sqref="O26">
    <cfRule type="colorScale" priority="9">
      <colorScale>
        <cfvo type="min"/>
        <cfvo type="percentile" val="50"/>
        <cfvo type="max"/>
        <color rgb="FFF8696B"/>
        <color rgb="FFFFEB84"/>
        <color rgb="FF63BE7B"/>
      </colorScale>
    </cfRule>
  </conditionalFormatting>
  <conditionalFormatting sqref="P26">
    <cfRule type="colorScale" priority="8">
      <colorScale>
        <cfvo type="min"/>
        <cfvo type="percentile" val="50"/>
        <cfvo type="max"/>
        <color rgb="FFF8696B"/>
        <color rgb="FFFFEB84"/>
        <color rgb="FF63BE7B"/>
      </colorScale>
    </cfRule>
  </conditionalFormatting>
  <conditionalFormatting sqref="O27">
    <cfRule type="colorScale" priority="7">
      <colorScale>
        <cfvo type="min"/>
        <cfvo type="percentile" val="50"/>
        <cfvo type="max"/>
        <color rgb="FFF8696B"/>
        <color rgb="FFFFEB84"/>
        <color rgb="FF63BE7B"/>
      </colorScale>
    </cfRule>
  </conditionalFormatting>
  <conditionalFormatting sqref="P27">
    <cfRule type="colorScale" priority="6">
      <colorScale>
        <cfvo type="min"/>
        <cfvo type="percentile" val="50"/>
        <cfvo type="max"/>
        <color rgb="FFF8696B"/>
        <color rgb="FFFFEB84"/>
        <color rgb="FF63BE7B"/>
      </colorScale>
    </cfRule>
  </conditionalFormatting>
  <conditionalFormatting sqref="O56">
    <cfRule type="colorScale" priority="5">
      <colorScale>
        <cfvo type="min"/>
        <cfvo type="percentile" val="50"/>
        <cfvo type="max"/>
        <color rgb="FFF8696B"/>
        <color rgb="FFFFEB84"/>
        <color rgb="FF63BE7B"/>
      </colorScale>
    </cfRule>
  </conditionalFormatting>
  <conditionalFormatting sqref="O57">
    <cfRule type="colorScale" priority="4">
      <colorScale>
        <cfvo type="min"/>
        <cfvo type="percentile" val="50"/>
        <cfvo type="max"/>
        <color rgb="FFF8696B"/>
        <color rgb="FFFFEB84"/>
        <color rgb="FF63BE7B"/>
      </colorScale>
    </cfRule>
  </conditionalFormatting>
  <conditionalFormatting sqref="O28">
    <cfRule type="colorScale" priority="3">
      <colorScale>
        <cfvo type="min"/>
        <cfvo type="percentile" val="50"/>
        <cfvo type="max"/>
        <color rgb="FFF8696B"/>
        <color rgb="FFFFEB84"/>
        <color rgb="FF63BE7B"/>
      </colorScale>
    </cfRule>
  </conditionalFormatting>
  <conditionalFormatting sqref="P28">
    <cfRule type="colorScale" priority="2">
      <colorScale>
        <cfvo type="min"/>
        <cfvo type="percentile" val="50"/>
        <cfvo type="max"/>
        <color rgb="FFF8696B"/>
        <color rgb="FFFFEB84"/>
        <color rgb="FF63BE7B"/>
      </colorScale>
    </cfRule>
  </conditionalFormatting>
  <conditionalFormatting sqref="O58">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D38FE-6B3B-4E1F-8807-B1BFA1DBFEAD}">
  <sheetPr codeName="Sheet2"/>
  <dimension ref="A1"/>
  <sheetViews>
    <sheetView workbookViewId="0">
      <selection activeCell="A2" sqref="A2"/>
    </sheetView>
  </sheetViews>
  <sheetFormatPr defaultRowHeight="15" x14ac:dyDescent="0.25"/>
  <sheetData>
    <row r="1" spans="1:1" x14ac:dyDescent="0.25">
      <c r="A1" t="s">
        <v>324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4B9FA-5F3A-48BD-A332-49100C2F7779}">
  <sheetPr codeName="Sheet3"/>
  <dimension ref="A1:A34"/>
  <sheetViews>
    <sheetView workbookViewId="0">
      <selection activeCell="A35" sqref="A35"/>
    </sheetView>
  </sheetViews>
  <sheetFormatPr defaultRowHeight="15" x14ac:dyDescent="0.25"/>
  <cols>
    <col min="1" max="1" width="202.140625" customWidth="1"/>
  </cols>
  <sheetData>
    <row r="1" spans="1:1" x14ac:dyDescent="0.25">
      <c r="A1" t="s">
        <v>102</v>
      </c>
    </row>
    <row r="2" spans="1:1" x14ac:dyDescent="0.25">
      <c r="A2" t="s">
        <v>102</v>
      </c>
    </row>
    <row r="3" spans="1:1" x14ac:dyDescent="0.25">
      <c r="A3" t="s">
        <v>205</v>
      </c>
    </row>
    <row r="4" spans="1:1" x14ac:dyDescent="0.25">
      <c r="A4" t="s">
        <v>171</v>
      </c>
    </row>
    <row r="5" spans="1:1" x14ac:dyDescent="0.25">
      <c r="A5" t="s">
        <v>102</v>
      </c>
    </row>
    <row r="6" spans="1:1" x14ac:dyDescent="0.25">
      <c r="A6" t="s">
        <v>172</v>
      </c>
    </row>
    <row r="7" spans="1:1" x14ac:dyDescent="0.25">
      <c r="A7" t="s">
        <v>102</v>
      </c>
    </row>
    <row r="8" spans="1:1" x14ac:dyDescent="0.25">
      <c r="A8" t="s">
        <v>197</v>
      </c>
    </row>
    <row r="9" spans="1:1" x14ac:dyDescent="0.25">
      <c r="A9" t="s">
        <v>198</v>
      </c>
    </row>
    <row r="10" spans="1:1" x14ac:dyDescent="0.25">
      <c r="A10" t="s">
        <v>199</v>
      </c>
    </row>
    <row r="11" spans="1:1" x14ac:dyDescent="0.25">
      <c r="A11" t="s">
        <v>162</v>
      </c>
    </row>
    <row r="12" spans="1:1" x14ac:dyDescent="0.25">
      <c r="A12" t="s">
        <v>102</v>
      </c>
    </row>
    <row r="13" spans="1:1" x14ac:dyDescent="0.25">
      <c r="A13" t="s">
        <v>102</v>
      </c>
    </row>
    <row r="14" spans="1:1" x14ac:dyDescent="0.25">
      <c r="A14" t="s">
        <v>102</v>
      </c>
    </row>
    <row r="15" spans="1:1" x14ac:dyDescent="0.25">
      <c r="A15" t="s">
        <v>102</v>
      </c>
    </row>
    <row r="16" spans="1:1" x14ac:dyDescent="0.25">
      <c r="A16" t="s">
        <v>102</v>
      </c>
    </row>
    <row r="17" spans="1:1" x14ac:dyDescent="0.25">
      <c r="A17" t="s">
        <v>102</v>
      </c>
    </row>
    <row r="18" spans="1:1" x14ac:dyDescent="0.25">
      <c r="A18" t="s">
        <v>322</v>
      </c>
    </row>
    <row r="19" spans="1:1" x14ac:dyDescent="0.25">
      <c r="A19" t="s">
        <v>173</v>
      </c>
    </row>
    <row r="20" spans="1:1" x14ac:dyDescent="0.25">
      <c r="A20" t="s">
        <v>247</v>
      </c>
    </row>
    <row r="21" spans="1:1" x14ac:dyDescent="0.25">
      <c r="A21" t="s">
        <v>102</v>
      </c>
    </row>
    <row r="22" spans="1:1" x14ac:dyDescent="0.25">
      <c r="A22" t="s">
        <v>165</v>
      </c>
    </row>
    <row r="23" spans="1:1" x14ac:dyDescent="0.25">
      <c r="A23" t="s">
        <v>163</v>
      </c>
    </row>
    <row r="24" spans="1:1" x14ac:dyDescent="0.25">
      <c r="A24" t="s">
        <v>200</v>
      </c>
    </row>
    <row r="25" spans="1:1" x14ac:dyDescent="0.25">
      <c r="A25" t="s">
        <v>164</v>
      </c>
    </row>
    <row r="26" spans="1:1" x14ac:dyDescent="0.25">
      <c r="A26" t="s">
        <v>201</v>
      </c>
    </row>
    <row r="27" spans="1:1" x14ac:dyDescent="0.25">
      <c r="A27" t="s">
        <v>202</v>
      </c>
    </row>
    <row r="28" spans="1:1" x14ac:dyDescent="0.25">
      <c r="A28" t="s">
        <v>203</v>
      </c>
    </row>
    <row r="29" spans="1:1" x14ac:dyDescent="0.25">
      <c r="A29" t="s">
        <v>207</v>
      </c>
    </row>
    <row r="30" spans="1:1" x14ac:dyDescent="0.25">
      <c r="A30" t="s">
        <v>208</v>
      </c>
    </row>
    <row r="31" spans="1:1" x14ac:dyDescent="0.25">
      <c r="A31" t="s">
        <v>209</v>
      </c>
    </row>
    <row r="32" spans="1:1" x14ac:dyDescent="0.25">
      <c r="A32" s="1" t="s">
        <v>325</v>
      </c>
    </row>
    <row r="33" spans="1:1" x14ac:dyDescent="0.25">
      <c r="A33" s="1" t="s">
        <v>226</v>
      </c>
    </row>
    <row r="34" spans="1:1" x14ac:dyDescent="0.25">
      <c r="A34" s="1" t="s">
        <v>326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93C54-FC77-4A57-AEDF-D4D1B82432EF}">
  <sheetPr codeName="Sheet4"/>
  <dimension ref="A1:N28"/>
  <sheetViews>
    <sheetView zoomScaleNormal="100" workbookViewId="0">
      <pane ySplit="1" topLeftCell="A2" activePane="bottomLeft" state="frozen"/>
      <selection pane="bottomLeft" activeCell="A2" sqref="A2"/>
    </sheetView>
  </sheetViews>
  <sheetFormatPr defaultRowHeight="15" x14ac:dyDescent="0.25"/>
  <cols>
    <col min="1" max="1" width="33.140625" customWidth="1"/>
    <col min="4" max="4" width="8.7109375" customWidth="1"/>
    <col min="5" max="5" width="12.5703125" customWidth="1"/>
    <col min="6" max="6" width="11.42578125" customWidth="1"/>
    <col min="7" max="7" width="8.5703125" customWidth="1"/>
    <col min="8" max="8" width="9.28515625" customWidth="1"/>
    <col min="9" max="9" width="15.42578125" customWidth="1"/>
    <col min="10" max="10" width="11.28515625" customWidth="1"/>
    <col min="11" max="11" width="128.28515625" style="1" customWidth="1"/>
    <col min="12" max="12" width="37.140625" customWidth="1"/>
    <col min="13" max="13" width="41.28515625" style="1" customWidth="1"/>
  </cols>
  <sheetData>
    <row r="1" spans="1:14" x14ac:dyDescent="0.25">
      <c r="A1" t="s">
        <v>0</v>
      </c>
      <c r="B1" t="s">
        <v>120</v>
      </c>
      <c r="C1" t="s">
        <v>121</v>
      </c>
      <c r="D1" t="s">
        <v>122</v>
      </c>
      <c r="E1" t="s">
        <v>25</v>
      </c>
      <c r="F1" t="s">
        <v>2</v>
      </c>
      <c r="G1" t="s">
        <v>3</v>
      </c>
      <c r="H1" t="s">
        <v>17</v>
      </c>
      <c r="I1" t="s">
        <v>23</v>
      </c>
      <c r="J1" t="s">
        <v>5</v>
      </c>
      <c r="K1" s="1" t="s">
        <v>1</v>
      </c>
      <c r="L1" t="s">
        <v>76</v>
      </c>
      <c r="M1" s="1" t="s">
        <v>118</v>
      </c>
      <c r="N1" t="s">
        <v>119</v>
      </c>
    </row>
    <row r="2" spans="1:14" ht="87.75" customHeight="1" x14ac:dyDescent="0.25">
      <c r="A2" t="s">
        <v>70</v>
      </c>
      <c r="E2">
        <v>0</v>
      </c>
      <c r="F2">
        <v>0</v>
      </c>
      <c r="G2">
        <v>2</v>
      </c>
      <c r="H2">
        <v>6</v>
      </c>
      <c r="I2" t="s">
        <v>22</v>
      </c>
      <c r="J2" t="s">
        <v>18</v>
      </c>
      <c r="K2" s="1" t="str">
        <f>effects!$A3&amp;CHAR(10)&amp;effects!$A4&amp;CHAR(10)&amp;effects!$A$31&amp;CHAR(10)&amp;effects!$A$34</f>
        <v>CATOBAR: Compatible with CATOBAR, VTOL, and  STOBAR squadrons.
E-2C Hawkeye: All squadrons you control in a combat including this asset have +1 attack and  defense.
Carrier 3: Can station 3 aircraft squadron.
CAP: +2 Help Defense</v>
      </c>
      <c r="L2" t="s">
        <v>77</v>
      </c>
      <c r="M2" s="1" t="s">
        <v>225</v>
      </c>
      <c r="N2" t="str">
        <f>version!$A$1</f>
        <v>0.0.1</v>
      </c>
    </row>
    <row r="3" spans="1:14" ht="87.75" customHeight="1" x14ac:dyDescent="0.25">
      <c r="A3" t="s">
        <v>69</v>
      </c>
      <c r="E3">
        <v>0</v>
      </c>
      <c r="F3">
        <v>0</v>
      </c>
      <c r="G3">
        <v>2</v>
      </c>
      <c r="H3">
        <v>7</v>
      </c>
      <c r="I3" t="s">
        <v>22</v>
      </c>
      <c r="J3" t="s">
        <v>18</v>
      </c>
      <c r="K3" s="1" t="str">
        <f>effects!$A3&amp;CHAR(10)&amp;effects!$A25&amp;CHAR(10)&amp;effects!$A$31&amp;CHAR(10)&amp;effects!$A$34</f>
        <v>CATOBAR: Compatible with CATOBAR, VTOL, and  STOBAR squadrons.
E-2D Hawkeye-I: All friendly air squadrons in combat with this asset have +1 attack and  defense. Enemy air squadrons lose Ambush.
Carrier 3: Can station 3 aircraft squadron.
CAP: +2 Help Defense</v>
      </c>
      <c r="L3" t="s">
        <v>78</v>
      </c>
      <c r="N3" t="str">
        <f>version!$A$1</f>
        <v>0.0.1</v>
      </c>
    </row>
    <row r="4" spans="1:14" ht="87.75" customHeight="1" x14ac:dyDescent="0.25">
      <c r="A4" t="s">
        <v>67</v>
      </c>
      <c r="E4">
        <v>0</v>
      </c>
      <c r="F4">
        <v>4</v>
      </c>
      <c r="G4">
        <v>2</v>
      </c>
      <c r="H4">
        <v>3</v>
      </c>
      <c r="I4" t="s">
        <v>22</v>
      </c>
      <c r="J4" t="s">
        <v>18</v>
      </c>
      <c r="K4" s="1" t="str">
        <f>effects!$A6&amp;CHAR(10)&amp;effects!$A29</f>
        <v>VTOL: Compatible with all VTOL aircraft squadrons.
Carrier 1: Can station 1 aircraft squadron.</v>
      </c>
      <c r="L4" t="s">
        <v>79</v>
      </c>
      <c r="M4" s="1" t="s">
        <v>156</v>
      </c>
      <c r="N4" t="str">
        <f>version!$A$1</f>
        <v>0.0.1</v>
      </c>
    </row>
    <row r="5" spans="1:14" ht="87.75" customHeight="1" x14ac:dyDescent="0.25">
      <c r="A5" t="s">
        <v>68</v>
      </c>
      <c r="E5">
        <v>0</v>
      </c>
      <c r="F5">
        <v>3</v>
      </c>
      <c r="G5">
        <v>2</v>
      </c>
      <c r="H5">
        <v>5</v>
      </c>
      <c r="I5" t="s">
        <v>22</v>
      </c>
      <c r="J5" t="s">
        <v>18</v>
      </c>
      <c r="K5" s="1" t="str">
        <f>effects!$A6&amp;CHAR(10)&amp;effects!$A$30</f>
        <v>VTOL: Compatible with all VTOL aircraft squadrons.
Carrier 2: Can station 2 aircraft squadron.</v>
      </c>
      <c r="L5" t="s">
        <v>80</v>
      </c>
      <c r="N5" t="str">
        <f>version!$A$1</f>
        <v>0.0.1</v>
      </c>
    </row>
    <row r="6" spans="1:14" ht="71.25" customHeight="1" x14ac:dyDescent="0.25">
      <c r="A6" t="s">
        <v>66</v>
      </c>
      <c r="E6">
        <v>4</v>
      </c>
      <c r="F6">
        <v>0</v>
      </c>
      <c r="G6">
        <v>4</v>
      </c>
      <c r="H6">
        <v>5</v>
      </c>
      <c r="I6" t="s">
        <v>22</v>
      </c>
      <c r="J6" t="s">
        <v>16</v>
      </c>
      <c r="K6" s="1" t="str">
        <f>effects!$A8&amp;CHAR(10)&amp;effects!$A9&amp;CHAR(10)&amp;effects!$A22&amp;CHAR(10)&amp;effects!$A24</f>
        <v>Ambush: This asset deals damage during the Ambush Damage Step.
Special Purposes: Each time this military asset is flipped face up, your opponent must reveal one card from their hand at random.
Hidden: Can be played face down. 
Commerce Raider: When assaulting a player, this military asset's assault is equal to its attack.</v>
      </c>
      <c r="L6" t="s">
        <v>81</v>
      </c>
      <c r="M6" s="1" t="s">
        <v>166</v>
      </c>
      <c r="N6" t="str">
        <f>version!$A$1</f>
        <v>0.0.1</v>
      </c>
    </row>
    <row r="7" spans="1:14" ht="67.5" customHeight="1" x14ac:dyDescent="0.25">
      <c r="A7" t="s">
        <v>65</v>
      </c>
      <c r="E7">
        <v>3</v>
      </c>
      <c r="F7">
        <v>0</v>
      </c>
      <c r="G7">
        <v>4</v>
      </c>
      <c r="H7">
        <v>4</v>
      </c>
      <c r="I7" t="s">
        <v>22</v>
      </c>
      <c r="J7" t="s">
        <v>16</v>
      </c>
      <c r="K7" s="1" t="str">
        <f>effects!$A8&amp;CHAR(10)&amp;effects!$A22&amp;CHAR(10)&amp;effects!$A24</f>
        <v>Ambush: This asset deals damage during the Ambush Damage Step.
Hidden: Can be played face down. 
Commerce Raider: When assaulting a player, this military asset's assault is equal to its attack.</v>
      </c>
      <c r="L7" t="s">
        <v>82</v>
      </c>
      <c r="M7" s="1" t="s">
        <v>157</v>
      </c>
      <c r="N7" t="str">
        <f>version!$A$1</f>
        <v>0.0.1</v>
      </c>
    </row>
    <row r="8" spans="1:14" ht="75.75" customHeight="1" x14ac:dyDescent="0.25">
      <c r="A8" t="s">
        <v>64</v>
      </c>
      <c r="E8">
        <v>3</v>
      </c>
      <c r="F8">
        <v>5</v>
      </c>
      <c r="G8">
        <v>2</v>
      </c>
      <c r="H8">
        <v>5</v>
      </c>
      <c r="I8" t="s">
        <v>22</v>
      </c>
      <c r="J8" t="s">
        <v>16</v>
      </c>
      <c r="K8" s="1" t="str">
        <f>effects!$A8&amp;CHAR(10)&amp;effects!$A10&amp;CHAR(10)&amp;effects!$A22</f>
        <v xml:space="preserve">Ambush: This asset deals damage during the Ambush Damage Step.
Strategic Strike Capability: At the end of your turn, if this asset is face-up and did not take part of an attack or defense, your opponent must discard one card from their deck.
Hidden: Can be played face down. </v>
      </c>
      <c r="L8" t="s">
        <v>83</v>
      </c>
      <c r="M8" s="1" t="s">
        <v>158</v>
      </c>
      <c r="N8" t="str">
        <f>version!$A$1</f>
        <v>0.0.1</v>
      </c>
    </row>
    <row r="9" spans="1:14" ht="53.25" customHeight="1" x14ac:dyDescent="0.25">
      <c r="A9" t="s">
        <v>62</v>
      </c>
      <c r="E9">
        <v>2</v>
      </c>
      <c r="F9">
        <v>3</v>
      </c>
      <c r="G9">
        <v>3</v>
      </c>
      <c r="H9">
        <v>4</v>
      </c>
      <c r="I9" t="s">
        <v>22</v>
      </c>
      <c r="J9" t="s">
        <v>18</v>
      </c>
      <c r="K9" s="1" t="str">
        <f>effects!$A11</f>
        <v>AEGIS: +2 Help Defense.</v>
      </c>
      <c r="L9" t="s">
        <v>84</v>
      </c>
      <c r="M9" s="1" t="s">
        <v>159</v>
      </c>
      <c r="N9" t="str">
        <f>version!$A$1</f>
        <v>0.0.1</v>
      </c>
    </row>
    <row r="10" spans="1:14" ht="53.25" customHeight="1" x14ac:dyDescent="0.25">
      <c r="A10" t="s">
        <v>63</v>
      </c>
      <c r="E10">
        <v>2</v>
      </c>
      <c r="F10">
        <v>3</v>
      </c>
      <c r="G10">
        <v>2</v>
      </c>
      <c r="H10">
        <v>3</v>
      </c>
      <c r="I10" t="s">
        <v>22</v>
      </c>
      <c r="J10" t="s">
        <v>18</v>
      </c>
      <c r="K10" s="1" t="str">
        <f>effects!$A11</f>
        <v>AEGIS: +2 Help Defense.</v>
      </c>
      <c r="L10" t="s">
        <v>85</v>
      </c>
      <c r="M10" s="1" t="s">
        <v>160</v>
      </c>
      <c r="N10" t="str">
        <f>version!$A$1</f>
        <v>0.0.1</v>
      </c>
    </row>
    <row r="11" spans="1:14" ht="100.5" customHeight="1" x14ac:dyDescent="0.25">
      <c r="A11" t="s">
        <v>61</v>
      </c>
      <c r="E11">
        <v>2</v>
      </c>
      <c r="F11">
        <v>4</v>
      </c>
      <c r="G11">
        <v>3</v>
      </c>
      <c r="H11">
        <v>3</v>
      </c>
      <c r="I11" t="s">
        <v>22</v>
      </c>
      <c r="J11" t="s">
        <v>18</v>
      </c>
      <c r="K11" s="1" t="str">
        <f>effects!$A22</f>
        <v xml:space="preserve">Hidden: Can be played face down. </v>
      </c>
      <c r="L11" t="s">
        <v>86</v>
      </c>
      <c r="M11" s="1" t="s">
        <v>319</v>
      </c>
      <c r="N11" t="str">
        <f>version!$A$1</f>
        <v>0.0.1</v>
      </c>
    </row>
    <row r="12" spans="1:14" ht="87.75" customHeight="1" x14ac:dyDescent="0.25">
      <c r="A12" t="s">
        <v>192</v>
      </c>
      <c r="E12">
        <v>4</v>
      </c>
      <c r="F12">
        <v>4</v>
      </c>
      <c r="G12">
        <v>3</v>
      </c>
      <c r="H12">
        <v>2</v>
      </c>
      <c r="I12" t="s">
        <v>22</v>
      </c>
      <c r="J12" t="s">
        <v>194</v>
      </c>
      <c r="K12" s="1" t="str">
        <f>effects!$A22&amp;CHAR(10)&amp;effects!$A$28</f>
        <v>Hidden: Can be played face down. 
CATOBAR-Compatible.</v>
      </c>
      <c r="L12" t="s">
        <v>87</v>
      </c>
      <c r="M12" s="1" t="s">
        <v>227</v>
      </c>
      <c r="N12" t="str">
        <f>version!$A$1</f>
        <v>0.0.1</v>
      </c>
    </row>
    <row r="13" spans="1:14" ht="83.25" customHeight="1" x14ac:dyDescent="0.25">
      <c r="A13" t="s">
        <v>19</v>
      </c>
      <c r="E13">
        <v>4</v>
      </c>
      <c r="F13">
        <v>3</v>
      </c>
      <c r="G13">
        <v>2</v>
      </c>
      <c r="H13">
        <v>3</v>
      </c>
      <c r="I13" t="s">
        <v>22</v>
      </c>
      <c r="J13" t="s">
        <v>194</v>
      </c>
      <c r="K13" s="1" t="str">
        <f>effects!$A22&amp;CHAR(10)&amp;effects!$A8&amp;CHAR(10)&amp;effects!$A$26</f>
        <v>Hidden: Can be played face down. 
Ambush: This asset deals damage during the Ambush Damage Step.
VTOL-Compatible.</v>
      </c>
      <c r="L13" t="s">
        <v>88</v>
      </c>
      <c r="M13" s="1" t="s">
        <v>228</v>
      </c>
      <c r="N13" t="str">
        <f>version!$A$1</f>
        <v>0.0.1</v>
      </c>
    </row>
    <row r="14" spans="1:14" ht="61.5" customHeight="1" x14ac:dyDescent="0.25">
      <c r="A14" t="s">
        <v>20</v>
      </c>
      <c r="E14">
        <v>4</v>
      </c>
      <c r="F14">
        <v>4</v>
      </c>
      <c r="G14">
        <v>2</v>
      </c>
      <c r="H14">
        <v>2</v>
      </c>
      <c r="I14" t="s">
        <v>22</v>
      </c>
      <c r="J14" t="s">
        <v>194</v>
      </c>
      <c r="K14" s="1" t="str">
        <f>effects!$A22&amp;CHAR(10)&amp;effects!$A8&amp;CHAR(10)&amp;effects!$A$28</f>
        <v>Hidden: Can be played face down. 
Ambush: This asset deals damage during the Ambush Damage Step.
CATOBAR-Compatible.</v>
      </c>
      <c r="L14" t="s">
        <v>89</v>
      </c>
      <c r="M14" s="1" t="s">
        <v>161</v>
      </c>
      <c r="N14" t="str">
        <f>version!$A$1</f>
        <v>0.0.1</v>
      </c>
    </row>
    <row r="15" spans="1:14" ht="78" customHeight="1" x14ac:dyDescent="0.25">
      <c r="A15" t="s">
        <v>7</v>
      </c>
      <c r="E15">
        <v>3</v>
      </c>
      <c r="F15">
        <v>3</v>
      </c>
      <c r="G15">
        <v>2</v>
      </c>
      <c r="H15">
        <v>1</v>
      </c>
      <c r="I15" t="s">
        <v>22</v>
      </c>
      <c r="J15" t="s">
        <v>194</v>
      </c>
      <c r="K15" s="1" t="str">
        <f>effects!$A22&amp;CHAR(10)&amp;effects!$A$26</f>
        <v>Hidden: Can be played face down. 
VTOL-Compatible.</v>
      </c>
      <c r="L15" t="s">
        <v>90</v>
      </c>
      <c r="M15" s="1" t="s">
        <v>229</v>
      </c>
      <c r="N15" t="str">
        <f>version!$A$1</f>
        <v>0.0.1</v>
      </c>
    </row>
    <row r="16" spans="1:14" ht="73.5" customHeight="1" x14ac:dyDescent="0.25">
      <c r="A16" t="s">
        <v>74</v>
      </c>
      <c r="E16">
        <v>4</v>
      </c>
      <c r="F16">
        <v>2</v>
      </c>
      <c r="G16">
        <v>2</v>
      </c>
      <c r="H16">
        <v>6</v>
      </c>
      <c r="I16" t="s">
        <v>24</v>
      </c>
      <c r="J16" t="s">
        <v>18</v>
      </c>
      <c r="K16" s="1" t="str">
        <f>effects!$A23&amp;CHAR(10)&amp;effects!$A$29&amp;CHAR(10)&amp;effects!$A$34</f>
        <v>STOBAR: Compatible with STOBAR and VTOL squadrons.
Carrier 1: Can station 1 aircraft squadron.
CAP: +2 Help Defense</v>
      </c>
      <c r="L16" t="s">
        <v>91</v>
      </c>
      <c r="M16" s="1" t="s">
        <v>149</v>
      </c>
      <c r="N16" t="str">
        <f>version!$A$1</f>
        <v>0.0.1</v>
      </c>
    </row>
    <row r="17" spans="1:14" ht="57" customHeight="1" x14ac:dyDescent="0.25">
      <c r="A17" t="s">
        <v>73</v>
      </c>
      <c r="E17">
        <v>6</v>
      </c>
      <c r="F17">
        <v>2</v>
      </c>
      <c r="G17">
        <v>4</v>
      </c>
      <c r="H17">
        <v>6</v>
      </c>
      <c r="I17" t="s">
        <v>24</v>
      </c>
      <c r="J17" t="s">
        <v>18</v>
      </c>
      <c r="K17" s="1" t="str">
        <f>effects!$A20</f>
        <v>S-300: +1 Help Defense.</v>
      </c>
      <c r="L17" t="s">
        <v>92</v>
      </c>
      <c r="M17" s="1" t="s">
        <v>150</v>
      </c>
      <c r="N17" t="str">
        <f>version!$A$1</f>
        <v>0.0.1</v>
      </c>
    </row>
    <row r="18" spans="1:14" ht="60" customHeight="1" x14ac:dyDescent="0.25">
      <c r="A18" t="s">
        <v>72</v>
      </c>
      <c r="E18">
        <v>4</v>
      </c>
      <c r="F18">
        <v>2</v>
      </c>
      <c r="G18">
        <v>2</v>
      </c>
      <c r="H18">
        <v>3</v>
      </c>
      <c r="I18" t="s">
        <v>24</v>
      </c>
      <c r="J18" t="s">
        <v>18</v>
      </c>
      <c r="K18" s="1" t="str">
        <f>effects!$A20</f>
        <v>S-300: +1 Help Defense.</v>
      </c>
      <c r="L18" t="s">
        <v>93</v>
      </c>
      <c r="M18" s="1" t="s">
        <v>230</v>
      </c>
      <c r="N18" t="str">
        <f>version!$A$1</f>
        <v>0.0.1</v>
      </c>
    </row>
    <row r="19" spans="1:14" ht="53.25" customHeight="1" x14ac:dyDescent="0.25">
      <c r="A19" t="s">
        <v>151</v>
      </c>
      <c r="E19">
        <v>3</v>
      </c>
      <c r="F19">
        <v>2</v>
      </c>
      <c r="G19">
        <v>3</v>
      </c>
      <c r="H19">
        <v>2</v>
      </c>
      <c r="I19" t="s">
        <v>24</v>
      </c>
      <c r="J19" t="s">
        <v>18</v>
      </c>
      <c r="K19" s="1" t="str">
        <f>CHAR(10)</f>
        <v xml:space="preserve">
</v>
      </c>
      <c r="L19" t="s">
        <v>94</v>
      </c>
      <c r="M19" s="1" t="s">
        <v>152</v>
      </c>
      <c r="N19" t="str">
        <f>version!$A$1</f>
        <v>0.0.1</v>
      </c>
    </row>
    <row r="20" spans="1:14" ht="53.25" customHeight="1" x14ac:dyDescent="0.25">
      <c r="A20" t="s">
        <v>71</v>
      </c>
      <c r="E20">
        <v>3</v>
      </c>
      <c r="F20">
        <v>2</v>
      </c>
      <c r="G20">
        <v>2</v>
      </c>
      <c r="H20">
        <v>2</v>
      </c>
      <c r="I20" t="s">
        <v>24</v>
      </c>
      <c r="J20" t="s">
        <v>18</v>
      </c>
      <c r="K20" s="1" t="str">
        <f>effects!$A22</f>
        <v xml:space="preserve">Hidden: Can be played face down. </v>
      </c>
      <c r="L20" t="s">
        <v>95</v>
      </c>
      <c r="M20" s="1" t="s">
        <v>153</v>
      </c>
      <c r="N20" t="str">
        <f>version!$A$1</f>
        <v>0.0.1</v>
      </c>
    </row>
    <row r="21" spans="1:14" ht="75.75" customHeight="1" x14ac:dyDescent="0.25">
      <c r="A21" t="s">
        <v>215</v>
      </c>
      <c r="E21">
        <v>5</v>
      </c>
      <c r="F21">
        <v>0</v>
      </c>
      <c r="G21">
        <v>3</v>
      </c>
      <c r="H21">
        <v>5</v>
      </c>
      <c r="I21" t="s">
        <v>24</v>
      </c>
      <c r="J21" t="s">
        <v>16</v>
      </c>
      <c r="K21" s="1" t="str">
        <f>effects!$A22&amp;CHAR(10)&amp;effects!$A8&amp;CHAR(10)&amp;effects!$A24</f>
        <v>Hidden: Can be played face down. 
Ambush: This asset deals damage during the Ambush Damage Step.
Commerce Raider: When assaulting a player, this military asset's assault is equal to its attack.</v>
      </c>
      <c r="L21" t="s">
        <v>96</v>
      </c>
      <c r="M21" s="1" t="s">
        <v>231</v>
      </c>
      <c r="N21" t="str">
        <f>version!$A$1</f>
        <v>0.0.1</v>
      </c>
    </row>
    <row r="22" spans="1:14" ht="60" x14ac:dyDescent="0.25">
      <c r="A22" t="s">
        <v>60</v>
      </c>
      <c r="E22">
        <v>3</v>
      </c>
      <c r="F22">
        <v>0</v>
      </c>
      <c r="G22">
        <v>2</v>
      </c>
      <c r="H22">
        <v>2</v>
      </c>
      <c r="I22" t="s">
        <v>24</v>
      </c>
      <c r="J22" t="s">
        <v>16</v>
      </c>
      <c r="K22" s="1" t="str">
        <f>effects!$A22&amp;CHAR(10)&amp;effects!$A8&amp;CHAR(10)&amp;effects!$A19</f>
        <v>Hidden: Can be played face down. 
Ambush: This asset deals damage during the Ambush Damage Step.
Coastal Defender: Cannot be declared as an attacker.</v>
      </c>
      <c r="L22" t="s">
        <v>97</v>
      </c>
      <c r="M22" s="1" t="s">
        <v>244</v>
      </c>
      <c r="N22" t="str">
        <f>version!$A$1</f>
        <v>0.0.1</v>
      </c>
    </row>
    <row r="23" spans="1:14" ht="81" customHeight="1" x14ac:dyDescent="0.25">
      <c r="A23" t="s">
        <v>318</v>
      </c>
      <c r="E23">
        <v>4</v>
      </c>
      <c r="F23">
        <v>0</v>
      </c>
      <c r="G23">
        <v>1</v>
      </c>
      <c r="H23">
        <v>3</v>
      </c>
      <c r="I23" t="s">
        <v>24</v>
      </c>
      <c r="J23" t="s">
        <v>16</v>
      </c>
      <c r="K23" s="1" t="str">
        <f>effects!$A22&amp;CHAR(10)&amp;effects!$A8&amp;CHAR(10)&amp;effects!$A24</f>
        <v>Hidden: Can be played face down. 
Ambush: This asset deals damage during the Ambush Damage Step.
Commerce Raider: When assaulting a player, this military asset's assault is equal to its attack.</v>
      </c>
      <c r="L23" t="s">
        <v>98</v>
      </c>
      <c r="M23" s="1" t="s">
        <v>232</v>
      </c>
      <c r="N23" t="str">
        <f>version!$A$1</f>
        <v>0.0.1</v>
      </c>
    </row>
    <row r="24" spans="1:14" ht="60" x14ac:dyDescent="0.25">
      <c r="A24" t="s">
        <v>196</v>
      </c>
      <c r="E24">
        <v>4</v>
      </c>
      <c r="F24">
        <v>3</v>
      </c>
      <c r="G24">
        <v>3</v>
      </c>
      <c r="H24">
        <v>1</v>
      </c>
      <c r="I24" t="s">
        <v>24</v>
      </c>
      <c r="J24" t="s">
        <v>194</v>
      </c>
      <c r="K24" s="1" t="str">
        <f>effects!$A22&amp;CHAR(10)&amp;effects!$A$27</f>
        <v>Hidden: Can be played face down. 
STOBAR-Compatible.</v>
      </c>
      <c r="L24" t="s">
        <v>99</v>
      </c>
      <c r="M24" s="1" t="s">
        <v>241</v>
      </c>
      <c r="N24" t="str">
        <f>version!$A$1</f>
        <v>0.0.1</v>
      </c>
    </row>
    <row r="25" spans="1:14" ht="36.75" customHeight="1" x14ac:dyDescent="0.25">
      <c r="A25" t="s">
        <v>195</v>
      </c>
      <c r="E25">
        <v>4</v>
      </c>
      <c r="F25">
        <v>4</v>
      </c>
      <c r="G25">
        <v>3</v>
      </c>
      <c r="H25">
        <v>1</v>
      </c>
      <c r="I25" t="s">
        <v>24</v>
      </c>
      <c r="J25" t="s">
        <v>194</v>
      </c>
      <c r="K25" s="1" t="str">
        <f>effects!$A22&amp;CHAR(10)&amp;effects!$A$27</f>
        <v>Hidden: Can be played face down. 
STOBAR-Compatible.</v>
      </c>
      <c r="L25" t="s">
        <v>100</v>
      </c>
      <c r="M25" s="1" t="s">
        <v>154</v>
      </c>
      <c r="N25" t="str">
        <f>version!$A$1</f>
        <v>0.0.1</v>
      </c>
    </row>
    <row r="26" spans="1:14" ht="47.25" customHeight="1" x14ac:dyDescent="0.25">
      <c r="A26" t="s">
        <v>317</v>
      </c>
      <c r="E26">
        <v>2</v>
      </c>
      <c r="F26">
        <v>0</v>
      </c>
      <c r="G26">
        <v>1</v>
      </c>
      <c r="H26">
        <v>1</v>
      </c>
      <c r="I26" t="s">
        <v>24</v>
      </c>
      <c r="J26" t="s">
        <v>16</v>
      </c>
      <c r="K26" s="1" t="str">
        <f>effects!$A22&amp;CHAR(10)&amp;effects!$A8&amp;CHAR(10)&amp;effects!$A24</f>
        <v>Hidden: Can be played face down. 
Ambush: This asset deals damage during the Ambush Damage Step.
Commerce Raider: When assaulting a player, this military asset's assault is equal to its attack.</v>
      </c>
      <c r="L26" t="s">
        <v>221</v>
      </c>
      <c r="M26" s="1" t="s">
        <v>213</v>
      </c>
      <c r="N26" t="str">
        <f>version!$A$1</f>
        <v>0.0.1</v>
      </c>
    </row>
    <row r="27" spans="1:14" ht="52.5" customHeight="1" x14ac:dyDescent="0.25">
      <c r="A27" t="s">
        <v>75</v>
      </c>
      <c r="E27">
        <v>3</v>
      </c>
      <c r="F27">
        <v>0</v>
      </c>
      <c r="G27">
        <v>3</v>
      </c>
      <c r="H27">
        <v>3</v>
      </c>
      <c r="I27" t="s">
        <v>24</v>
      </c>
      <c r="J27" t="s">
        <v>16</v>
      </c>
      <c r="K27" s="1" t="str">
        <f>effects!$A22&amp;CHAR(10)&amp;effects!$A8&amp;CHAR(10)&amp;effects!$A24</f>
        <v>Hidden: Can be played face down. 
Ambush: This asset deals damage during the Ambush Damage Step.
Commerce Raider: When assaulting a player, this military asset's assault is equal to its attack.</v>
      </c>
      <c r="L27" t="s">
        <v>101</v>
      </c>
      <c r="M27" s="1" t="s">
        <v>155</v>
      </c>
      <c r="N27" t="str">
        <f>version!$A$1</f>
        <v>0.0.1</v>
      </c>
    </row>
    <row r="28" spans="1:14" ht="45" x14ac:dyDescent="0.25">
      <c r="A28" t="s">
        <v>251</v>
      </c>
      <c r="E28">
        <v>2</v>
      </c>
      <c r="F28">
        <v>0</v>
      </c>
      <c r="G28">
        <v>2</v>
      </c>
      <c r="H28">
        <v>1</v>
      </c>
      <c r="I28" t="s">
        <v>24</v>
      </c>
      <c r="J28" t="s">
        <v>18</v>
      </c>
      <c r="K28" s="1" t="str">
        <f>CHAR(10)</f>
        <v xml:space="preserve">
</v>
      </c>
      <c r="L28" t="s">
        <v>308</v>
      </c>
      <c r="M28" s="1" t="s">
        <v>309</v>
      </c>
      <c r="N28" t="str">
        <f>version!$A$1</f>
        <v>0.0.1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9B4C7-500D-47EB-BE6D-92AD1D35CF94}">
  <sheetPr codeName="Sheet5"/>
  <dimension ref="A1:G28"/>
  <sheetViews>
    <sheetView workbookViewId="0">
      <selection activeCell="A7" sqref="A7"/>
    </sheetView>
  </sheetViews>
  <sheetFormatPr defaultRowHeight="15" x14ac:dyDescent="0.25"/>
  <cols>
    <col min="1" max="1" width="44.7109375" customWidth="1"/>
    <col min="2" max="2" width="12.5703125" customWidth="1"/>
    <col min="4" max="4" width="90.28515625" style="1" customWidth="1"/>
    <col min="5" max="5" width="29.42578125" customWidth="1"/>
    <col min="6" max="6" width="54" customWidth="1"/>
    <col min="7" max="8" width="8.28515625" customWidth="1"/>
  </cols>
  <sheetData>
    <row r="1" spans="1:7" x14ac:dyDescent="0.25">
      <c r="A1" t="s">
        <v>0</v>
      </c>
      <c r="B1" t="s">
        <v>5</v>
      </c>
      <c r="C1" t="s">
        <v>21</v>
      </c>
      <c r="D1" s="1" t="s">
        <v>1</v>
      </c>
      <c r="E1" t="s">
        <v>76</v>
      </c>
      <c r="F1" s="1" t="s">
        <v>118</v>
      </c>
      <c r="G1" t="s">
        <v>119</v>
      </c>
    </row>
    <row r="2" spans="1:7" x14ac:dyDescent="0.25">
      <c r="F2" t="str">
        <f t="shared" ref="F2:F28" si="0">CHAR(10)</f>
        <v xml:space="preserve">
</v>
      </c>
    </row>
    <row r="3" spans="1:7" ht="30" x14ac:dyDescent="0.25">
      <c r="A3" t="s">
        <v>8</v>
      </c>
      <c r="B3" t="s">
        <v>6</v>
      </c>
      <c r="C3" t="s">
        <v>22</v>
      </c>
      <c r="D3" s="1" t="s">
        <v>233</v>
      </c>
      <c r="E3" t="s">
        <v>206</v>
      </c>
      <c r="F3" t="str">
        <f t="shared" si="0"/>
        <v xml:space="preserve">
</v>
      </c>
      <c r="G3" t="str">
        <f>version!$A$1</f>
        <v>0.0.1</v>
      </c>
    </row>
    <row r="4" spans="1:7" ht="45" x14ac:dyDescent="0.25">
      <c r="A4" t="s">
        <v>42</v>
      </c>
      <c r="B4" t="s">
        <v>6</v>
      </c>
      <c r="C4" t="s">
        <v>22</v>
      </c>
      <c r="D4" s="1" t="s">
        <v>245</v>
      </c>
      <c r="E4" t="s">
        <v>104</v>
      </c>
      <c r="F4" t="str">
        <f t="shared" si="0"/>
        <v xml:space="preserve">
</v>
      </c>
      <c r="G4" t="str">
        <f>version!$A$1</f>
        <v>0.0.1</v>
      </c>
    </row>
    <row r="5" spans="1:7" x14ac:dyDescent="0.25">
      <c r="F5" t="str">
        <f t="shared" si="0"/>
        <v xml:space="preserve">
</v>
      </c>
    </row>
    <row r="6" spans="1:7" ht="33.75" customHeight="1" x14ac:dyDescent="0.25">
      <c r="A6" t="s">
        <v>9</v>
      </c>
      <c r="B6" t="s">
        <v>6</v>
      </c>
      <c r="C6" t="s">
        <v>22</v>
      </c>
      <c r="D6" s="1" t="s">
        <v>235</v>
      </c>
      <c r="E6" t="s">
        <v>105</v>
      </c>
      <c r="F6" t="str">
        <f t="shared" si="0"/>
        <v xml:space="preserve">
</v>
      </c>
      <c r="G6" t="str">
        <f>version!$A$1</f>
        <v>0.0.1</v>
      </c>
    </row>
    <row r="7" spans="1:7" ht="30" x14ac:dyDescent="0.25">
      <c r="A7" t="s">
        <v>10</v>
      </c>
      <c r="B7" t="s">
        <v>11</v>
      </c>
      <c r="C7" t="s">
        <v>22</v>
      </c>
      <c r="D7" s="1" t="s">
        <v>248</v>
      </c>
      <c r="E7" t="s">
        <v>106</v>
      </c>
      <c r="F7" t="str">
        <f t="shared" si="0"/>
        <v xml:space="preserve">
</v>
      </c>
      <c r="G7" t="str">
        <f>version!$A$1</f>
        <v>0.0.1</v>
      </c>
    </row>
    <row r="8" spans="1:7" x14ac:dyDescent="0.25">
      <c r="A8" t="s">
        <v>242</v>
      </c>
      <c r="B8" t="s">
        <v>11</v>
      </c>
      <c r="C8" t="s">
        <v>22</v>
      </c>
      <c r="D8" s="1" t="s">
        <v>243</v>
      </c>
      <c r="E8" t="s">
        <v>107</v>
      </c>
      <c r="F8" t="str">
        <f t="shared" si="0"/>
        <v xml:space="preserve">
</v>
      </c>
      <c r="G8" t="str">
        <f>version!$A$1</f>
        <v>0.0.1</v>
      </c>
    </row>
    <row r="9" spans="1:7" ht="30" x14ac:dyDescent="0.25">
      <c r="A9" t="s">
        <v>12</v>
      </c>
      <c r="B9" t="s">
        <v>6</v>
      </c>
      <c r="C9" t="s">
        <v>22</v>
      </c>
      <c r="D9" s="1" t="s">
        <v>246</v>
      </c>
      <c r="E9" t="s">
        <v>168</v>
      </c>
      <c r="F9" t="str">
        <f t="shared" si="0"/>
        <v xml:space="preserve">
</v>
      </c>
      <c r="G9" t="str">
        <f>version!$A$1</f>
        <v>0.0.1</v>
      </c>
    </row>
    <row r="10" spans="1:7" ht="30" x14ac:dyDescent="0.25">
      <c r="A10" t="s">
        <v>40</v>
      </c>
      <c r="B10" t="s">
        <v>6</v>
      </c>
      <c r="C10" t="s">
        <v>22</v>
      </c>
      <c r="D10" s="1" t="s">
        <v>236</v>
      </c>
      <c r="E10" t="s">
        <v>108</v>
      </c>
      <c r="F10" t="str">
        <f t="shared" si="0"/>
        <v xml:space="preserve">
</v>
      </c>
      <c r="G10" t="str">
        <f>version!$A$1</f>
        <v>0.0.1</v>
      </c>
    </row>
    <row r="11" spans="1:7" x14ac:dyDescent="0.25">
      <c r="A11" t="s">
        <v>41</v>
      </c>
      <c r="B11" t="s">
        <v>6</v>
      </c>
      <c r="C11" t="s">
        <v>22</v>
      </c>
      <c r="D11" s="1" t="s">
        <v>323</v>
      </c>
      <c r="E11" t="s">
        <v>109</v>
      </c>
      <c r="F11" t="str">
        <f t="shared" si="0"/>
        <v xml:space="preserve">
</v>
      </c>
      <c r="G11" t="str">
        <f>version!$A$1</f>
        <v>0.0.1</v>
      </c>
    </row>
    <row r="12" spans="1:7" x14ac:dyDescent="0.25">
      <c r="F12" t="str">
        <f t="shared" si="0"/>
        <v xml:space="preserve">
</v>
      </c>
    </row>
    <row r="13" spans="1:7" ht="14.25" customHeight="1" x14ac:dyDescent="0.25">
      <c r="A13" t="s">
        <v>13</v>
      </c>
      <c r="B13" t="s">
        <v>11</v>
      </c>
      <c r="C13" t="s">
        <v>24</v>
      </c>
      <c r="D13" s="1" t="s">
        <v>167</v>
      </c>
      <c r="E13" t="s">
        <v>110</v>
      </c>
      <c r="F13" t="str">
        <f t="shared" si="0"/>
        <v xml:space="preserve">
</v>
      </c>
      <c r="G13" t="str">
        <f>version!$A$1</f>
        <v>0.0.1</v>
      </c>
    </row>
    <row r="14" spans="1:7" ht="30" x14ac:dyDescent="0.25">
      <c r="A14" t="s">
        <v>237</v>
      </c>
      <c r="B14" t="s">
        <v>11</v>
      </c>
      <c r="C14" t="s">
        <v>24</v>
      </c>
      <c r="D14" s="1" t="s">
        <v>250</v>
      </c>
      <c r="E14" t="s">
        <v>111</v>
      </c>
      <c r="F14" t="str">
        <f t="shared" si="0"/>
        <v xml:space="preserve">
</v>
      </c>
      <c r="G14" t="str">
        <f>version!$A$1</f>
        <v>0.0.1</v>
      </c>
    </row>
    <row r="15" spans="1:7" ht="39.75" customHeight="1" x14ac:dyDescent="0.25">
      <c r="A15" t="s">
        <v>14</v>
      </c>
      <c r="B15" t="s">
        <v>6</v>
      </c>
      <c r="C15" t="s">
        <v>24</v>
      </c>
      <c r="D15" s="1" t="s">
        <v>314</v>
      </c>
      <c r="E15" t="s">
        <v>112</v>
      </c>
      <c r="F15" t="str">
        <f t="shared" si="0"/>
        <v xml:space="preserve">
</v>
      </c>
      <c r="G15" t="str">
        <f>version!$A$1</f>
        <v>0.0.1</v>
      </c>
    </row>
    <row r="16" spans="1:7" ht="14.25" customHeight="1" x14ac:dyDescent="0.25"/>
    <row r="17" spans="1:7" x14ac:dyDescent="0.25">
      <c r="A17" t="s">
        <v>15</v>
      </c>
      <c r="B17" t="s">
        <v>11</v>
      </c>
      <c r="C17" t="s">
        <v>24</v>
      </c>
      <c r="D17" s="1" t="s">
        <v>174</v>
      </c>
      <c r="E17" t="s">
        <v>113</v>
      </c>
      <c r="F17" t="str">
        <f t="shared" si="0"/>
        <v xml:space="preserve">
</v>
      </c>
      <c r="G17" t="str">
        <f>version!$A$1</f>
        <v>0.0.1</v>
      </c>
    </row>
    <row r="18" spans="1:7" x14ac:dyDescent="0.25">
      <c r="A18" t="s">
        <v>249</v>
      </c>
      <c r="B18" t="s">
        <v>6</v>
      </c>
      <c r="C18" t="s">
        <v>24</v>
      </c>
      <c r="D18" s="1" t="s">
        <v>254</v>
      </c>
      <c r="E18" t="s">
        <v>310</v>
      </c>
      <c r="F18" t="str">
        <f t="shared" si="0"/>
        <v xml:space="preserve">
</v>
      </c>
      <c r="G18" t="str">
        <f>version!$A$1</f>
        <v>0.0.1</v>
      </c>
    </row>
    <row r="19" spans="1:7" x14ac:dyDescent="0.25">
      <c r="F19" t="str">
        <f t="shared" si="0"/>
        <v xml:space="preserve">
</v>
      </c>
    </row>
    <row r="20" spans="1:7" x14ac:dyDescent="0.25">
      <c r="F20" t="str">
        <f t="shared" si="0"/>
        <v xml:space="preserve">
</v>
      </c>
    </row>
    <row r="21" spans="1:7" x14ac:dyDescent="0.25">
      <c r="A21" t="s">
        <v>234</v>
      </c>
      <c r="B21" t="s">
        <v>6</v>
      </c>
      <c r="C21" t="s">
        <v>24</v>
      </c>
      <c r="D21" s="1" t="s">
        <v>169</v>
      </c>
      <c r="E21" t="s">
        <v>114</v>
      </c>
      <c r="F21" t="str">
        <f t="shared" si="0"/>
        <v xml:space="preserve">
</v>
      </c>
      <c r="G21" t="str">
        <f>version!$A$1</f>
        <v>0.0.1</v>
      </c>
    </row>
    <row r="22" spans="1:7" ht="30" x14ac:dyDescent="0.25">
      <c r="A22" t="s">
        <v>43</v>
      </c>
      <c r="B22" t="s">
        <v>6</v>
      </c>
      <c r="C22" t="s">
        <v>24</v>
      </c>
      <c r="D22" s="1" t="s">
        <v>170</v>
      </c>
      <c r="E22" t="s">
        <v>238</v>
      </c>
      <c r="F22" t="str">
        <f t="shared" si="0"/>
        <v xml:space="preserve">
</v>
      </c>
      <c r="G22" t="str">
        <f>version!$A$1</f>
        <v>0.0.1</v>
      </c>
    </row>
    <row r="23" spans="1:7" x14ac:dyDescent="0.25">
      <c r="F23" t="str">
        <f t="shared" si="0"/>
        <v xml:space="preserve">
</v>
      </c>
    </row>
    <row r="24" spans="1:7" x14ac:dyDescent="0.25">
      <c r="F24" t="str">
        <f t="shared" si="0"/>
        <v xml:space="preserve">
</v>
      </c>
    </row>
    <row r="25" spans="1:7" ht="30" x14ac:dyDescent="0.25">
      <c r="A25" t="s">
        <v>103</v>
      </c>
      <c r="B25" t="s">
        <v>6</v>
      </c>
      <c r="C25" t="s">
        <v>22</v>
      </c>
      <c r="D25" s="1" t="s">
        <v>321</v>
      </c>
      <c r="E25" t="s">
        <v>115</v>
      </c>
      <c r="F25" t="str">
        <f t="shared" si="0"/>
        <v xml:space="preserve">
</v>
      </c>
      <c r="G25" t="str">
        <f>version!$A$1</f>
        <v>0.0.1</v>
      </c>
    </row>
    <row r="26" spans="1:7" ht="45" x14ac:dyDescent="0.25">
      <c r="A26" t="s">
        <v>239</v>
      </c>
      <c r="B26" t="s">
        <v>11</v>
      </c>
      <c r="C26" t="s">
        <v>22</v>
      </c>
      <c r="D26" s="1" t="s">
        <v>240</v>
      </c>
      <c r="E26" t="s">
        <v>311</v>
      </c>
      <c r="F26" t="str">
        <f t="shared" si="0"/>
        <v xml:space="preserve">
</v>
      </c>
      <c r="G26" t="str">
        <f>version!$A$1</f>
        <v>0.0.1</v>
      </c>
    </row>
    <row r="27" spans="1:7" x14ac:dyDescent="0.25">
      <c r="A27" t="s">
        <v>255</v>
      </c>
      <c r="B27" t="s">
        <v>11</v>
      </c>
      <c r="C27" t="s">
        <v>24</v>
      </c>
      <c r="D27" s="1" t="s">
        <v>253</v>
      </c>
      <c r="E27" t="s">
        <v>312</v>
      </c>
      <c r="F27" t="str">
        <f t="shared" si="0"/>
        <v xml:space="preserve">
</v>
      </c>
      <c r="G27" t="str">
        <f>version!$A$1</f>
        <v>0.0.1</v>
      </c>
    </row>
    <row r="28" spans="1:7" ht="30" x14ac:dyDescent="0.25">
      <c r="A28" t="s">
        <v>252</v>
      </c>
      <c r="B28" t="s">
        <v>6</v>
      </c>
      <c r="C28" t="s">
        <v>24</v>
      </c>
      <c r="D28" s="1" t="s">
        <v>320</v>
      </c>
      <c r="E28" t="s">
        <v>313</v>
      </c>
      <c r="F28" t="str">
        <f t="shared" si="0"/>
        <v xml:space="preserve">
</v>
      </c>
      <c r="G28" t="str">
        <f>version!$A$1</f>
        <v>0.0.1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12BAA-2E94-43DB-8D32-B8E4A4E5FFFC}">
  <sheetPr codeName="Sheet6"/>
  <dimension ref="A1:H20"/>
  <sheetViews>
    <sheetView workbookViewId="0">
      <selection activeCell="C5" sqref="C5"/>
    </sheetView>
  </sheetViews>
  <sheetFormatPr defaultRowHeight="15" x14ac:dyDescent="0.25"/>
  <cols>
    <col min="1" max="1" width="73" customWidth="1"/>
    <col min="2" max="2" width="15.85546875" customWidth="1"/>
    <col min="3" max="3" width="13.7109375" customWidth="1"/>
    <col min="4" max="4" width="187.28515625" style="1" customWidth="1"/>
    <col min="6" max="6" width="57.85546875" style="4" customWidth="1"/>
    <col min="7" max="7" width="26.28515625" customWidth="1"/>
    <col min="8" max="8" width="8.28515625" customWidth="1"/>
  </cols>
  <sheetData>
    <row r="1" spans="1:8" x14ac:dyDescent="0.25">
      <c r="A1" t="s">
        <v>0</v>
      </c>
      <c r="B1" t="s">
        <v>26</v>
      </c>
      <c r="C1" t="s">
        <v>27</v>
      </c>
      <c r="D1" s="1" t="s">
        <v>1</v>
      </c>
      <c r="E1" t="s">
        <v>21</v>
      </c>
      <c r="F1" s="4" t="s">
        <v>118</v>
      </c>
      <c r="G1" s="4" t="s">
        <v>76</v>
      </c>
      <c r="H1" t="s">
        <v>119</v>
      </c>
    </row>
    <row r="2" spans="1:8" ht="30" x14ac:dyDescent="0.25">
      <c r="A2" t="s">
        <v>305</v>
      </c>
      <c r="B2">
        <v>6</v>
      </c>
      <c r="C2">
        <v>2</v>
      </c>
      <c r="D2" s="1" t="str">
        <f>CHAR(10)</f>
        <v xml:space="preserve">
</v>
      </c>
      <c r="E2" t="s">
        <v>22</v>
      </c>
      <c r="F2" s="4" t="str">
        <f>CHAR(10)</f>
        <v xml:space="preserve">
</v>
      </c>
      <c r="G2" t="s">
        <v>222</v>
      </c>
      <c r="H2" t="str">
        <f>version!$A$1</f>
        <v>0.0.1</v>
      </c>
    </row>
    <row r="3" spans="1:8" ht="14.25" customHeight="1" x14ac:dyDescent="0.25">
      <c r="A3" t="s">
        <v>38</v>
      </c>
      <c r="B3">
        <v>4</v>
      </c>
      <c r="C3">
        <v>2</v>
      </c>
      <c r="D3" s="1" t="str">
        <f>effects!A18</f>
        <v>RAINFALL: During your first deployment phase each turn, select a face down asset controlled by your opponent. Your opponent must reveal this asset. It remains face down afterwards.</v>
      </c>
      <c r="E3" t="s">
        <v>22</v>
      </c>
      <c r="F3" s="4" t="str">
        <f>CHAR(10)</f>
        <v xml:space="preserve">
</v>
      </c>
      <c r="G3" t="s">
        <v>224</v>
      </c>
      <c r="H3" t="str">
        <f>version!$A$1</f>
        <v>0.0.1</v>
      </c>
    </row>
    <row r="4" spans="1:8" ht="71.25" customHeight="1" x14ac:dyDescent="0.25">
      <c r="A4" t="s">
        <v>29</v>
      </c>
      <c r="B4">
        <v>5</v>
      </c>
      <c r="C4">
        <v>4</v>
      </c>
      <c r="D4" s="1" t="str">
        <f>effects!$A$33</f>
        <v>Grants 2 logistics capacity to the USN player if controlled by their opponent.</v>
      </c>
      <c r="E4" t="s">
        <v>22</v>
      </c>
      <c r="F4" s="1" t="s">
        <v>204</v>
      </c>
      <c r="G4" t="s">
        <v>316</v>
      </c>
      <c r="H4" t="str">
        <f>version!$A$1</f>
        <v>0.0.1</v>
      </c>
    </row>
    <row r="5" spans="1:8" x14ac:dyDescent="0.25">
      <c r="A5" t="s">
        <v>306</v>
      </c>
      <c r="B5">
        <v>5</v>
      </c>
      <c r="C5">
        <v>4</v>
      </c>
      <c r="D5" s="1" t="str">
        <f>effects!$A$32</f>
        <v>Partisans: Provides -4 logistics capacity if controlled by a non-Russian player.</v>
      </c>
      <c r="E5" t="s">
        <v>24</v>
      </c>
      <c r="F5" s="4" t="str">
        <f>CHAR(10)</f>
        <v xml:space="preserve">
</v>
      </c>
      <c r="G5" t="s">
        <v>223</v>
      </c>
      <c r="H5" t="str">
        <f>version!$A$1</f>
        <v>0.0.1</v>
      </c>
    </row>
    <row r="11" spans="1:8" ht="71.25" customHeight="1" x14ac:dyDescent="0.25">
      <c r="F11" s="1"/>
    </row>
    <row r="20" ht="14.25" customHeight="1" x14ac:dyDescent="0.25"/>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8987D-349F-4742-AF8A-4428C54D0A0B}">
  <sheetPr codeName="Sheet7"/>
  <dimension ref="A1:V84"/>
  <sheetViews>
    <sheetView workbookViewId="0">
      <selection activeCell="D61" sqref="D61"/>
    </sheetView>
  </sheetViews>
  <sheetFormatPr defaultRowHeight="15" x14ac:dyDescent="0.25"/>
  <cols>
    <col min="1" max="1" width="9.140625" customWidth="1"/>
    <col min="3" max="3" width="55.28515625" style="3" customWidth="1"/>
    <col min="4" max="4" width="54.5703125" customWidth="1"/>
    <col min="13" max="13" width="14.85546875" customWidth="1"/>
    <col min="15" max="15" width="18.42578125" customWidth="1"/>
    <col min="16" max="16" width="10.42578125" customWidth="1"/>
  </cols>
  <sheetData>
    <row r="1" spans="1:22" x14ac:dyDescent="0.25">
      <c r="A1" t="s">
        <v>4</v>
      </c>
      <c r="B1" t="s">
        <v>117</v>
      </c>
      <c r="C1" s="3" t="s">
        <v>116</v>
      </c>
      <c r="D1" t="str">
        <f>military_assets!A1</f>
        <v>Title</v>
      </c>
      <c r="E1" t="str">
        <f>military_assets!B1</f>
        <v>Unused0</v>
      </c>
      <c r="F1" t="str">
        <f>military_assets!C1</f>
        <v>Unused1</v>
      </c>
      <c r="G1" t="str">
        <f>military_assets!D1</f>
        <v>Unused2</v>
      </c>
      <c r="H1" t="str">
        <f>military_assets!E1</f>
        <v>Attack</v>
      </c>
      <c r="I1" t="str">
        <f>military_assets!F1</f>
        <v>ShoreAttack</v>
      </c>
      <c r="J1" t="str">
        <f>military_assets!G1</f>
        <v>Defense</v>
      </c>
      <c r="K1" t="str">
        <f>military_assets!H1</f>
        <v>Logistics</v>
      </c>
      <c r="L1" t="str">
        <f>military_assets!I1</f>
        <v>Rosters</v>
      </c>
      <c r="M1" t="str">
        <f>military_assets!J1</f>
        <v>Type</v>
      </c>
      <c r="N1" t="str">
        <f>military_assets!K1</f>
        <v>Description</v>
      </c>
      <c r="O1" t="str">
        <f>military_assets!L1</f>
        <v>Image</v>
      </c>
      <c r="P1" t="str">
        <f>military_assets!M1</f>
        <v>FlavorText</v>
      </c>
      <c r="Q1" t="str">
        <f>military_assets!N1</f>
        <v>Version</v>
      </c>
      <c r="R1">
        <f>military_assets!O1</f>
        <v>0</v>
      </c>
      <c r="S1">
        <f>military_assets!P1</f>
        <v>0</v>
      </c>
      <c r="T1">
        <f>military_assets!Q1</f>
        <v>0</v>
      </c>
      <c r="U1">
        <f>military_assets!R1</f>
        <v>0</v>
      </c>
      <c r="V1">
        <f>military_assets!S1</f>
        <v>0</v>
      </c>
    </row>
    <row r="2" spans="1:22" x14ac:dyDescent="0.25">
      <c r="A2">
        <v>1</v>
      </c>
      <c r="B2">
        <v>2</v>
      </c>
      <c r="C2" s="3" t="s">
        <v>126</v>
      </c>
      <c r="D2" t="str" cm="1">
        <f t="array" ref="D2">INDEX(military_assets!A:A,mil_ass_all!$B2)</f>
        <v>Nimitz Class CVN</v>
      </c>
      <c r="E2" cm="1">
        <f t="array" ref="E2">INDEX(military_assets!B:B,mil_ass_all!$B2)</f>
        <v>0</v>
      </c>
      <c r="F2" cm="1">
        <f t="array" ref="F2">INDEX(military_assets!C:C,mil_ass_all!$B2)</f>
        <v>0</v>
      </c>
      <c r="G2" cm="1">
        <f t="array" ref="G2">INDEX(military_assets!D:D,mil_ass_all!$B2)</f>
        <v>0</v>
      </c>
      <c r="H2" cm="1">
        <f t="array" ref="H2">INDEX(military_assets!E:E,mil_ass_all!$B2)</f>
        <v>0</v>
      </c>
      <c r="I2" cm="1">
        <f t="array" ref="I2">INDEX(military_assets!F:F,mil_ass_all!$B2)</f>
        <v>0</v>
      </c>
      <c r="J2" cm="1">
        <f t="array" ref="J2">INDEX(military_assets!G:G,mil_ass_all!$B2)</f>
        <v>2</v>
      </c>
      <c r="K2" cm="1">
        <f t="array" ref="K2">INDEX(military_assets!H:H,mil_ass_all!$B2)</f>
        <v>6</v>
      </c>
      <c r="L2" t="str" cm="1">
        <f t="array" ref="L2">INDEX(military_assets!I:I,mil_ass_all!$B2)</f>
        <v>USN</v>
      </c>
      <c r="M2" t="str" cm="1">
        <f t="array" ref="M2">INDEX(military_assets!J:J,mil_ass_all!$B2)</f>
        <v>Ship</v>
      </c>
      <c r="N2" t="str" cm="1">
        <f t="array" ref="N2">INDEX(military_assets!K:K,mil_ass_all!$B2)</f>
        <v>CATOBAR: Compatible with CATOBAR, VTOL, and  STOBAR squadrons.
E-2C Hawkeye: All squadrons you control in a combat including this asset have +1 attack and  defense.
Carrier 3: Can station 3 aircraft squadron.
CAP: +2 Help Defense</v>
      </c>
      <c r="O2" t="str" cm="1">
        <f t="array" ref="O2">INDEX(military_assets!L:L,mil_ass_all!$B2)</f>
        <v>Images/nimitz.jpg</v>
      </c>
      <c r="P2" t="str" cm="1">
        <f t="array" ref="P2">INDEX(military_assets!M:M,mil_ass_all!$B2)</f>
        <v>A military airbase at sea, a Nimitz carrier is more than three times as long as a football field and has more than twice the displacement of the German super-battleship Bismarck.</v>
      </c>
      <c r="Q2" t="str" cm="1">
        <f t="array" ref="Q2">INDEX(military_assets!N:N,mil_ass_all!$B2)</f>
        <v>0.0.1</v>
      </c>
    </row>
    <row r="3" spans="1:22" x14ac:dyDescent="0.25">
      <c r="A3">
        <v>1</v>
      </c>
      <c r="B3">
        <v>2</v>
      </c>
      <c r="C3" s="3" t="s">
        <v>127</v>
      </c>
      <c r="D3" t="str" cm="1">
        <f t="array" ref="D3">INDEX(military_assets!A:A,mil_ass_all!$B3)</f>
        <v>Nimitz Class CVN</v>
      </c>
      <c r="E3" cm="1">
        <f t="array" ref="E3">INDEX(military_assets!B:B,mil_ass_all!$B3)</f>
        <v>0</v>
      </c>
      <c r="F3" cm="1">
        <f t="array" ref="F3">INDEX(military_assets!C:C,mil_ass_all!$B3)</f>
        <v>0</v>
      </c>
      <c r="G3" cm="1">
        <f t="array" ref="G3">INDEX(military_assets!D:D,mil_ass_all!$B3)</f>
        <v>0</v>
      </c>
      <c r="H3" cm="1">
        <f t="array" ref="H3">INDEX(military_assets!E:E,mil_ass_all!$B3)</f>
        <v>0</v>
      </c>
      <c r="I3" cm="1">
        <f t="array" ref="I3">INDEX(military_assets!F:F,mil_ass_all!$B3)</f>
        <v>0</v>
      </c>
      <c r="J3" cm="1">
        <f t="array" ref="J3">INDEX(military_assets!G:G,mil_ass_all!$B3)</f>
        <v>2</v>
      </c>
      <c r="K3" cm="1">
        <f t="array" ref="K3">INDEX(military_assets!H:H,mil_ass_all!$B3)</f>
        <v>6</v>
      </c>
      <c r="L3" t="str" cm="1">
        <f t="array" ref="L3">INDEX(military_assets!I:I,mil_ass_all!$B3)</f>
        <v>USN</v>
      </c>
      <c r="M3" t="str" cm="1">
        <f t="array" ref="M3">INDEX(military_assets!J:J,mil_ass_all!$B3)</f>
        <v>Ship</v>
      </c>
      <c r="N3" t="str" cm="1">
        <f t="array" ref="N3">INDEX(military_assets!K:K,mil_ass_all!$B3)</f>
        <v>CATOBAR: Compatible with CATOBAR, VTOL, and  STOBAR squadrons.
E-2C Hawkeye: All squadrons you control in a combat including this asset have +1 attack and  defense.
Carrier 3: Can station 3 aircraft squadron.
CAP: +2 Help Defense</v>
      </c>
      <c r="O3" t="str" cm="1">
        <f t="array" ref="O3">INDEX(military_assets!L:L,mil_ass_all!$B3)</f>
        <v>Images/nimitz.jpg</v>
      </c>
      <c r="P3" t="str" cm="1">
        <f t="array" ref="P3">INDEX(military_assets!M:M,mil_ass_all!$B3)</f>
        <v>A military airbase at sea, a Nimitz carrier is more than three times as long as a football field and has more than twice the displacement of the German super-battleship Bismarck.</v>
      </c>
      <c r="Q3" t="str" cm="1">
        <f t="array" ref="Q3">INDEX(military_assets!N:N,mil_ass_all!$B3)</f>
        <v>0.0.1</v>
      </c>
    </row>
    <row r="4" spans="1:22" x14ac:dyDescent="0.25">
      <c r="A4">
        <v>1</v>
      </c>
      <c r="B4">
        <v>2</v>
      </c>
      <c r="C4" s="3" t="s">
        <v>256</v>
      </c>
      <c r="D4" t="str" cm="1">
        <f t="array" ref="D4">INDEX(military_assets!A:A,mil_ass_all!$B4)</f>
        <v>Nimitz Class CVN</v>
      </c>
      <c r="E4" cm="1">
        <f t="array" ref="E4">INDEX(military_assets!B:B,mil_ass_all!$B4)</f>
        <v>0</v>
      </c>
      <c r="F4" cm="1">
        <f t="array" ref="F4">INDEX(military_assets!C:C,mil_ass_all!$B4)</f>
        <v>0</v>
      </c>
      <c r="G4" cm="1">
        <f t="array" ref="G4">INDEX(military_assets!D:D,mil_ass_all!$B4)</f>
        <v>0</v>
      </c>
      <c r="H4" cm="1">
        <f t="array" ref="H4">INDEX(military_assets!E:E,mil_ass_all!$B4)</f>
        <v>0</v>
      </c>
      <c r="I4" cm="1">
        <f t="array" ref="I4">INDEX(military_assets!F:F,mil_ass_all!$B4)</f>
        <v>0</v>
      </c>
      <c r="J4" cm="1">
        <f t="array" ref="J4">INDEX(military_assets!G:G,mil_ass_all!$B4)</f>
        <v>2</v>
      </c>
      <c r="K4" cm="1">
        <f t="array" ref="K4">INDEX(military_assets!H:H,mil_ass_all!$B4)</f>
        <v>6</v>
      </c>
      <c r="L4" t="str" cm="1">
        <f t="array" ref="L4">INDEX(military_assets!I:I,mil_ass_all!$B4)</f>
        <v>USN</v>
      </c>
      <c r="M4" t="str" cm="1">
        <f t="array" ref="M4">INDEX(military_assets!J:J,mil_ass_all!$B4)</f>
        <v>Ship</v>
      </c>
      <c r="N4" t="str" cm="1">
        <f t="array" ref="N4">INDEX(military_assets!K:K,mil_ass_all!$B4)</f>
        <v>CATOBAR: Compatible with CATOBAR, VTOL, and  STOBAR squadrons.
E-2C Hawkeye: All squadrons you control in a combat including this asset have +1 attack and  defense.
Carrier 3: Can station 3 aircraft squadron.
CAP: +2 Help Defense</v>
      </c>
      <c r="O4" t="str" cm="1">
        <f t="array" ref="O4">INDEX(military_assets!L:L,mil_ass_all!$B4)</f>
        <v>Images/nimitz.jpg</v>
      </c>
      <c r="P4" t="str" cm="1">
        <f t="array" ref="P4">INDEX(military_assets!M:M,mil_ass_all!$B4)</f>
        <v>A military airbase at sea, a Nimitz carrier is more than three times as long as a football field and has more than twice the displacement of the German super-battleship Bismarck.</v>
      </c>
      <c r="Q4" t="str" cm="1">
        <f t="array" ref="Q4">INDEX(military_assets!N:N,mil_ass_all!$B4)</f>
        <v>0.0.1</v>
      </c>
    </row>
    <row r="5" spans="1:22" x14ac:dyDescent="0.25">
      <c r="A5">
        <v>1</v>
      </c>
      <c r="B5">
        <v>4</v>
      </c>
      <c r="C5" s="3" t="s">
        <v>129</v>
      </c>
      <c r="D5" t="str" cm="1">
        <f t="array" ref="D5">INDEX(military_assets!A:A,mil_ass_all!$B5)</f>
        <v>Wasp Class LHA</v>
      </c>
      <c r="E5" cm="1">
        <f t="array" ref="E5">INDEX(military_assets!B:B,mil_ass_all!$B5)</f>
        <v>0</v>
      </c>
      <c r="F5" cm="1">
        <f t="array" ref="F5">INDEX(military_assets!C:C,mil_ass_all!$B5)</f>
        <v>0</v>
      </c>
      <c r="G5" cm="1">
        <f t="array" ref="G5">INDEX(military_assets!D:D,mil_ass_all!$B5)</f>
        <v>0</v>
      </c>
      <c r="H5" cm="1">
        <f t="array" ref="H5">INDEX(military_assets!E:E,mil_ass_all!$B5)</f>
        <v>0</v>
      </c>
      <c r="I5" cm="1">
        <f t="array" ref="I5">INDEX(military_assets!F:F,mil_ass_all!$B5)</f>
        <v>4</v>
      </c>
      <c r="J5" cm="1">
        <f t="array" ref="J5">INDEX(military_assets!G:G,mil_ass_all!$B5)</f>
        <v>2</v>
      </c>
      <c r="K5" cm="1">
        <f t="array" ref="K5">INDEX(military_assets!H:H,mil_ass_all!$B5)</f>
        <v>3</v>
      </c>
      <c r="L5" t="str" cm="1">
        <f t="array" ref="L5">INDEX(military_assets!I:I,mil_ass_all!$B5)</f>
        <v>USN</v>
      </c>
      <c r="M5" t="str" cm="1">
        <f t="array" ref="M5">INDEX(military_assets!J:J,mil_ass_all!$B5)</f>
        <v>Ship</v>
      </c>
      <c r="N5" t="str" cm="1">
        <f t="array" ref="N5">INDEX(military_assets!K:K,mil_ass_all!$B5)</f>
        <v>VTOL: Compatible with all VTOL aircraft squadrons.
Carrier 1: Can station 1 aircraft squadron.</v>
      </c>
      <c r="O5" t="str" cm="1">
        <f t="array" ref="O5">INDEX(military_assets!L:L,mil_ass_all!$B5)</f>
        <v>Images/wasp.jpg</v>
      </c>
      <c r="P5" t="str" cm="1">
        <f t="array" ref="P5">INDEX(military_assets!M:M,mil_ass_all!$B5)</f>
        <v>In addition to supporting VTOL aircraft, a Wasp amphibious assault ship is capable of delivering a Marine Expeditionary Unit complete with its armored vehicles to hostile shores via helicopters and landing craft.</v>
      </c>
      <c r="Q5" t="str" cm="1">
        <f t="array" ref="Q5">INDEX(military_assets!N:N,mil_ass_all!$B5)</f>
        <v>0.0.1</v>
      </c>
    </row>
    <row r="6" spans="1:22" x14ac:dyDescent="0.25">
      <c r="A6">
        <v>1</v>
      </c>
      <c r="B6">
        <v>4</v>
      </c>
      <c r="C6" s="3" t="s">
        <v>128</v>
      </c>
      <c r="D6" t="str" cm="1">
        <f t="array" ref="D6">INDEX(military_assets!A:A,mil_ass_all!$B6)</f>
        <v>Wasp Class LHA</v>
      </c>
      <c r="E6" cm="1">
        <f t="array" ref="E6">INDEX(military_assets!B:B,mil_ass_all!$B6)</f>
        <v>0</v>
      </c>
      <c r="F6" cm="1">
        <f t="array" ref="F6">INDEX(military_assets!C:C,mil_ass_all!$B6)</f>
        <v>0</v>
      </c>
      <c r="G6" cm="1">
        <f t="array" ref="G6">INDEX(military_assets!D:D,mil_ass_all!$B6)</f>
        <v>0</v>
      </c>
      <c r="H6" cm="1">
        <f t="array" ref="H6">INDEX(military_assets!E:E,mil_ass_all!$B6)</f>
        <v>0</v>
      </c>
      <c r="I6" cm="1">
        <f t="array" ref="I6">INDEX(military_assets!F:F,mil_ass_all!$B6)</f>
        <v>4</v>
      </c>
      <c r="J6" cm="1">
        <f t="array" ref="J6">INDEX(military_assets!G:G,mil_ass_all!$B6)</f>
        <v>2</v>
      </c>
      <c r="K6" cm="1">
        <f t="array" ref="K6">INDEX(military_assets!H:H,mil_ass_all!$B6)</f>
        <v>3</v>
      </c>
      <c r="L6" t="str" cm="1">
        <f t="array" ref="L6">INDEX(military_assets!I:I,mil_ass_all!$B6)</f>
        <v>USN</v>
      </c>
      <c r="M6" t="str" cm="1">
        <f t="array" ref="M6">INDEX(military_assets!J:J,mil_ass_all!$B6)</f>
        <v>Ship</v>
      </c>
      <c r="N6" t="str" cm="1">
        <f t="array" ref="N6">INDEX(military_assets!K:K,mil_ass_all!$B6)</f>
        <v>VTOL: Compatible with all VTOL aircraft squadrons.
Carrier 1: Can station 1 aircraft squadron.</v>
      </c>
      <c r="O6" t="str" cm="1">
        <f t="array" ref="O6">INDEX(military_assets!L:L,mil_ass_all!$B6)</f>
        <v>Images/wasp.jpg</v>
      </c>
      <c r="P6" t="str" cm="1">
        <f t="array" ref="P6">INDEX(military_assets!M:M,mil_ass_all!$B6)</f>
        <v>In addition to supporting VTOL aircraft, a Wasp amphibious assault ship is capable of delivering a Marine Expeditionary Unit complete with its armored vehicles to hostile shores via helicopters and landing craft.</v>
      </c>
      <c r="Q6" t="str" cm="1">
        <f t="array" ref="Q6">INDEX(military_assets!N:N,mil_ass_all!$B6)</f>
        <v>0.0.1</v>
      </c>
    </row>
    <row r="7" spans="1:22" x14ac:dyDescent="0.25">
      <c r="A7">
        <v>1</v>
      </c>
      <c r="B7">
        <v>4</v>
      </c>
      <c r="C7" s="3" t="s">
        <v>259</v>
      </c>
      <c r="D7" t="str" cm="1">
        <f t="array" ref="D7">INDEX(military_assets!A:A,mil_ass_all!$B7)</f>
        <v>Wasp Class LHA</v>
      </c>
      <c r="E7" cm="1">
        <f t="array" ref="E7">INDEX(military_assets!B:B,mil_ass_all!$B7)</f>
        <v>0</v>
      </c>
      <c r="F7" cm="1">
        <f t="array" ref="F7">INDEX(military_assets!C:C,mil_ass_all!$B7)</f>
        <v>0</v>
      </c>
      <c r="G7" cm="1">
        <f t="array" ref="G7">INDEX(military_assets!D:D,mil_ass_all!$B7)</f>
        <v>0</v>
      </c>
      <c r="H7" cm="1">
        <f t="array" ref="H7">INDEX(military_assets!E:E,mil_ass_all!$B7)</f>
        <v>0</v>
      </c>
      <c r="I7" cm="1">
        <f t="array" ref="I7">INDEX(military_assets!F:F,mil_ass_all!$B7)</f>
        <v>4</v>
      </c>
      <c r="J7" cm="1">
        <f t="array" ref="J7">INDEX(military_assets!G:G,mil_ass_all!$B7)</f>
        <v>2</v>
      </c>
      <c r="K7" cm="1">
        <f t="array" ref="K7">INDEX(military_assets!H:H,mil_ass_all!$B7)</f>
        <v>3</v>
      </c>
      <c r="L7" t="str" cm="1">
        <f t="array" ref="L7">INDEX(military_assets!I:I,mil_ass_all!$B7)</f>
        <v>USN</v>
      </c>
      <c r="M7" t="str" cm="1">
        <f t="array" ref="M7">INDEX(military_assets!J:J,mil_ass_all!$B7)</f>
        <v>Ship</v>
      </c>
      <c r="N7" t="str" cm="1">
        <f t="array" ref="N7">INDEX(military_assets!K:K,mil_ass_all!$B7)</f>
        <v>VTOL: Compatible with all VTOL aircraft squadrons.
Carrier 1: Can station 1 aircraft squadron.</v>
      </c>
      <c r="O7" t="str" cm="1">
        <f t="array" ref="O7">INDEX(military_assets!L:L,mil_ass_all!$B7)</f>
        <v>Images/wasp.jpg</v>
      </c>
      <c r="P7" t="str" cm="1">
        <f t="array" ref="P7">INDEX(military_assets!M:M,mil_ass_all!$B7)</f>
        <v>In addition to supporting VTOL aircraft, a Wasp amphibious assault ship is capable of delivering a Marine Expeditionary Unit complete with its armored vehicles to hostile shores via helicopters and landing craft.</v>
      </c>
      <c r="Q7" t="str" cm="1">
        <f t="array" ref="Q7">INDEX(military_assets!N:N,mil_ass_all!$B7)</f>
        <v>0.0.1</v>
      </c>
    </row>
    <row r="8" spans="1:22" x14ac:dyDescent="0.25">
      <c r="A8">
        <v>1</v>
      </c>
      <c r="B8">
        <v>4</v>
      </c>
      <c r="C8" s="3" t="s">
        <v>257</v>
      </c>
      <c r="D8" t="str" cm="1">
        <f t="array" ref="D8">INDEX(military_assets!A:A,mil_ass_all!$B8)</f>
        <v>Wasp Class LHA</v>
      </c>
      <c r="E8" cm="1">
        <f t="array" ref="E8">INDEX(military_assets!B:B,mil_ass_all!$B8)</f>
        <v>0</v>
      </c>
      <c r="F8" cm="1">
        <f t="array" ref="F8">INDEX(military_assets!C:C,mil_ass_all!$B8)</f>
        <v>0</v>
      </c>
      <c r="G8" cm="1">
        <f t="array" ref="G8">INDEX(military_assets!D:D,mil_ass_all!$B8)</f>
        <v>0</v>
      </c>
      <c r="H8" cm="1">
        <f t="array" ref="H8">INDEX(military_assets!E:E,mil_ass_all!$B8)</f>
        <v>0</v>
      </c>
      <c r="I8" cm="1">
        <f t="array" ref="I8">INDEX(military_assets!F:F,mil_ass_all!$B8)</f>
        <v>4</v>
      </c>
      <c r="J8" cm="1">
        <f t="array" ref="J8">INDEX(military_assets!G:G,mil_ass_all!$B8)</f>
        <v>2</v>
      </c>
      <c r="K8" cm="1">
        <f t="array" ref="K8">INDEX(military_assets!H:H,mil_ass_all!$B8)</f>
        <v>3</v>
      </c>
      <c r="L8" t="str" cm="1">
        <f t="array" ref="L8">INDEX(military_assets!I:I,mil_ass_all!$B8)</f>
        <v>USN</v>
      </c>
      <c r="M8" t="str" cm="1">
        <f t="array" ref="M8">INDEX(military_assets!J:J,mil_ass_all!$B8)</f>
        <v>Ship</v>
      </c>
      <c r="N8" t="str" cm="1">
        <f t="array" ref="N8">INDEX(military_assets!K:K,mil_ass_all!$B8)</f>
        <v>VTOL: Compatible with all VTOL aircraft squadrons.
Carrier 1: Can station 1 aircraft squadron.</v>
      </c>
      <c r="O8" t="str" cm="1">
        <f t="array" ref="O8">INDEX(military_assets!L:L,mil_ass_all!$B8)</f>
        <v>Images/wasp.jpg</v>
      </c>
      <c r="P8" t="str" cm="1">
        <f t="array" ref="P8">INDEX(military_assets!M:M,mil_ass_all!$B8)</f>
        <v>In addition to supporting VTOL aircraft, a Wasp amphibious assault ship is capable of delivering a Marine Expeditionary Unit complete with its armored vehicles to hostile shores via helicopters and landing craft.</v>
      </c>
      <c r="Q8" t="str" cm="1">
        <f t="array" ref="Q8">INDEX(military_assets!N:N,mil_ass_all!$B8)</f>
        <v>0.0.1</v>
      </c>
    </row>
    <row r="9" spans="1:22" ht="15.75" customHeight="1" x14ac:dyDescent="0.25">
      <c r="A9">
        <v>1</v>
      </c>
      <c r="B9">
        <v>4</v>
      </c>
      <c r="C9" s="3" t="s">
        <v>258</v>
      </c>
      <c r="D9" t="str" cm="1">
        <f t="array" ref="D9">INDEX(military_assets!A:A,mil_ass_all!$B9)</f>
        <v>Wasp Class LHA</v>
      </c>
      <c r="E9" cm="1">
        <f t="array" ref="E9">INDEX(military_assets!B:B,mil_ass_all!$B9)</f>
        <v>0</v>
      </c>
      <c r="F9" cm="1">
        <f t="array" ref="F9">INDEX(military_assets!C:C,mil_ass_all!$B9)</f>
        <v>0</v>
      </c>
      <c r="G9" cm="1">
        <f t="array" ref="G9">INDEX(military_assets!D:D,mil_ass_all!$B9)</f>
        <v>0</v>
      </c>
      <c r="H9" cm="1">
        <f t="array" ref="H9">INDEX(military_assets!E:E,mil_ass_all!$B9)</f>
        <v>0</v>
      </c>
      <c r="I9" cm="1">
        <f t="array" ref="I9">INDEX(military_assets!F:F,mil_ass_all!$B9)</f>
        <v>4</v>
      </c>
      <c r="J9" cm="1">
        <f t="array" ref="J9">INDEX(military_assets!G:G,mil_ass_all!$B9)</f>
        <v>2</v>
      </c>
      <c r="K9" cm="1">
        <f t="array" ref="K9">INDEX(military_assets!H:H,mil_ass_all!$B9)</f>
        <v>3</v>
      </c>
      <c r="L9" t="str" cm="1">
        <f t="array" ref="L9">INDEX(military_assets!I:I,mil_ass_all!$B9)</f>
        <v>USN</v>
      </c>
      <c r="M9" t="str" cm="1">
        <f t="array" ref="M9">INDEX(military_assets!J:J,mil_ass_all!$B9)</f>
        <v>Ship</v>
      </c>
      <c r="N9" t="str" cm="1">
        <f t="array" ref="N9">INDEX(military_assets!K:K,mil_ass_all!$B9)</f>
        <v>VTOL: Compatible with all VTOL aircraft squadrons.
Carrier 1: Can station 1 aircraft squadron.</v>
      </c>
      <c r="O9" t="str" cm="1">
        <f t="array" ref="O9">INDEX(military_assets!L:L,mil_ass_all!$B9)</f>
        <v>Images/wasp.jpg</v>
      </c>
      <c r="P9" t="str" cm="1">
        <f t="array" ref="P9">INDEX(military_assets!M:M,mil_ass_all!$B9)</f>
        <v>In addition to supporting VTOL aircraft, a Wasp amphibious assault ship is capable of delivering a Marine Expeditionary Unit complete with its armored vehicles to hostile shores via helicopters and landing craft.</v>
      </c>
      <c r="Q9" t="str" cm="1">
        <f t="array" ref="Q9">INDEX(military_assets!N:N,mil_ass_all!$B9)</f>
        <v>0.0.1</v>
      </c>
    </row>
    <row r="10" spans="1:22" x14ac:dyDescent="0.25">
      <c r="A10">
        <v>1</v>
      </c>
      <c r="B10">
        <v>6</v>
      </c>
      <c r="C10" s="3" t="s">
        <v>131</v>
      </c>
      <c r="D10" t="str" cm="1">
        <f t="array" ref="D10">INDEX(military_assets!A:A,mil_ass_all!$B10)</f>
        <v>Seawolf Class SSN</v>
      </c>
      <c r="E10" cm="1">
        <f t="array" ref="E10">INDEX(military_assets!B:B,mil_ass_all!$B10)</f>
        <v>0</v>
      </c>
      <c r="F10" cm="1">
        <f t="array" ref="F10">INDEX(military_assets!C:C,mil_ass_all!$B10)</f>
        <v>0</v>
      </c>
      <c r="G10" cm="1">
        <f t="array" ref="G10">INDEX(military_assets!D:D,mil_ass_all!$B10)</f>
        <v>0</v>
      </c>
      <c r="H10" cm="1">
        <f t="array" ref="H10">INDEX(military_assets!E:E,mil_ass_all!$B10)</f>
        <v>4</v>
      </c>
      <c r="I10" cm="1">
        <f t="array" ref="I10">INDEX(military_assets!F:F,mil_ass_all!$B10)</f>
        <v>0</v>
      </c>
      <c r="J10" cm="1">
        <f t="array" ref="J10">INDEX(military_assets!G:G,mil_ass_all!$B10)</f>
        <v>4</v>
      </c>
      <c r="K10" cm="1">
        <f t="array" ref="K10">INDEX(military_assets!H:H,mil_ass_all!$B10)</f>
        <v>5</v>
      </c>
      <c r="L10" t="str" cm="1">
        <f t="array" ref="L10">INDEX(military_assets!I:I,mil_ass_all!$B10)</f>
        <v>USN</v>
      </c>
      <c r="M10" t="str" cm="1">
        <f t="array" ref="M10">INDEX(military_assets!J:J,mil_ass_all!$B10)</f>
        <v>Submarine</v>
      </c>
      <c r="N10" t="str" cm="1">
        <f t="array" ref="N10">INDEX(military_assets!K:K,mil_ass_all!$B10)</f>
        <v>Ambush: This asset deals damage during the Ambush Damage Step.
Special Purposes: Each time this military asset is flipped face up, your opponent must reveal one card from their hand at random.
Hidden: Can be played face down. 
Commerce Raider: When assaulting a player, this military asset's assault is equal to its attack.</v>
      </c>
      <c r="O10" t="str" cm="1">
        <f t="array" ref="O10">INDEX(military_assets!L:L,mil_ass_all!$B10)</f>
        <v>Images/seawolf.jpg</v>
      </c>
      <c r="P10" t="str" cm="1">
        <f t="array" ref="P10">INDEX(military_assets!M:M,mil_ass_all!$B10)</f>
        <v>As the most expensive class of attack submarine ever built, the Seawolf is the apex predator of the US Navy's submarine fleet.</v>
      </c>
      <c r="Q10" t="str" cm="1">
        <f t="array" ref="Q10">INDEX(military_assets!N:N,mil_ass_all!$B10)</f>
        <v>0.0.1</v>
      </c>
    </row>
    <row r="11" spans="1:22" x14ac:dyDescent="0.25">
      <c r="A11">
        <v>1</v>
      </c>
      <c r="B11">
        <v>7</v>
      </c>
      <c r="C11" s="3" t="s">
        <v>130</v>
      </c>
      <c r="D11" t="str" cm="1">
        <f t="array" ref="D11">INDEX(military_assets!A:A,mil_ass_all!$B11)</f>
        <v>Virginia Class SSN</v>
      </c>
      <c r="E11" cm="1">
        <f t="array" ref="E11">INDEX(military_assets!B:B,mil_ass_all!$B11)</f>
        <v>0</v>
      </c>
      <c r="F11" cm="1">
        <f t="array" ref="F11">INDEX(military_assets!C:C,mil_ass_all!$B11)</f>
        <v>0</v>
      </c>
      <c r="G11" cm="1">
        <f t="array" ref="G11">INDEX(military_assets!D:D,mil_ass_all!$B11)</f>
        <v>0</v>
      </c>
      <c r="H11" cm="1">
        <f t="array" ref="H11">INDEX(military_assets!E:E,mil_ass_all!$B11)</f>
        <v>3</v>
      </c>
      <c r="I11" cm="1">
        <f t="array" ref="I11">INDEX(military_assets!F:F,mil_ass_all!$B11)</f>
        <v>0</v>
      </c>
      <c r="J11" cm="1">
        <f t="array" ref="J11">INDEX(military_assets!G:G,mil_ass_all!$B11)</f>
        <v>4</v>
      </c>
      <c r="K11" cm="1">
        <f t="array" ref="K11">INDEX(military_assets!H:H,mil_ass_all!$B11)</f>
        <v>4</v>
      </c>
      <c r="L11" t="str" cm="1">
        <f t="array" ref="L11">INDEX(military_assets!I:I,mil_ass_all!$B11)</f>
        <v>USN</v>
      </c>
      <c r="M11" t="str" cm="1">
        <f t="array" ref="M11">INDEX(military_assets!J:J,mil_ass_all!$B11)</f>
        <v>Submarine</v>
      </c>
      <c r="N11" t="str" cm="1">
        <f t="array" ref="N11">INDEX(military_assets!K:K,mil_ass_all!$B11)</f>
        <v>Ambush: This asset deals damage during the Ambush Damage Step.
Hidden: Can be played face down. 
Commerce Raider: When assaulting a player, this military asset's assault is equal to its attack.</v>
      </c>
      <c r="O11" t="str" cm="1">
        <f t="array" ref="O11">INDEX(military_assets!L:L,mil_ass_all!$B11)</f>
        <v>Images/virginia.jpg</v>
      </c>
      <c r="P11" t="str" cm="1">
        <f t="array" ref="P11">INDEX(military_assets!M:M,mil_ass_all!$B11)</f>
        <v>The advanced Virginia will be the standard attack submarine of the US Navy until at least the middle of the 21st century.</v>
      </c>
      <c r="Q11" t="str" cm="1">
        <f t="array" ref="Q11">INDEX(military_assets!N:N,mil_ass_all!$B11)</f>
        <v>0.0.1</v>
      </c>
    </row>
    <row r="12" spans="1:22" ht="15.75" customHeight="1" x14ac:dyDescent="0.25">
      <c r="A12">
        <v>1</v>
      </c>
      <c r="B12">
        <v>7</v>
      </c>
      <c r="C12" s="3" t="s">
        <v>261</v>
      </c>
      <c r="D12" t="str" cm="1">
        <f t="array" ref="D12">INDEX(military_assets!A:A,mil_ass_all!$B12)</f>
        <v>Virginia Class SSN</v>
      </c>
      <c r="E12" cm="1">
        <f t="array" ref="E12">INDEX(military_assets!B:B,mil_ass_all!$B12)</f>
        <v>0</v>
      </c>
      <c r="F12" cm="1">
        <f t="array" ref="F12">INDEX(military_assets!C:C,mil_ass_all!$B12)</f>
        <v>0</v>
      </c>
      <c r="G12" cm="1">
        <f t="array" ref="G12">INDEX(military_assets!D:D,mil_ass_all!$B12)</f>
        <v>0</v>
      </c>
      <c r="H12" cm="1">
        <f t="array" ref="H12">INDEX(military_assets!E:E,mil_ass_all!$B12)</f>
        <v>3</v>
      </c>
      <c r="I12" cm="1">
        <f t="array" ref="I12">INDEX(military_assets!F:F,mil_ass_all!$B12)</f>
        <v>0</v>
      </c>
      <c r="J12" cm="1">
        <f t="array" ref="J12">INDEX(military_assets!G:G,mil_ass_all!$B12)</f>
        <v>4</v>
      </c>
      <c r="K12" cm="1">
        <f t="array" ref="K12">INDEX(military_assets!H:H,mil_ass_all!$B12)</f>
        <v>4</v>
      </c>
      <c r="L12" t="str" cm="1">
        <f t="array" ref="L12">INDEX(military_assets!I:I,mil_ass_all!$B12)</f>
        <v>USN</v>
      </c>
      <c r="M12" t="str" cm="1">
        <f t="array" ref="M12">INDEX(military_assets!J:J,mil_ass_all!$B12)</f>
        <v>Submarine</v>
      </c>
      <c r="N12" t="str" cm="1">
        <f t="array" ref="N12">INDEX(military_assets!K:K,mil_ass_all!$B12)</f>
        <v>Ambush: This asset deals damage during the Ambush Damage Step.
Hidden: Can be played face down. 
Commerce Raider: When assaulting a player, this military asset's assault is equal to its attack.</v>
      </c>
      <c r="O12" t="str" cm="1">
        <f t="array" ref="O12">INDEX(military_assets!L:L,mil_ass_all!$B12)</f>
        <v>Images/virginia.jpg</v>
      </c>
      <c r="P12" t="str" cm="1">
        <f t="array" ref="P12">INDEX(military_assets!M:M,mil_ass_all!$B12)</f>
        <v>The advanced Virginia will be the standard attack submarine of the US Navy until at least the middle of the 21st century.</v>
      </c>
      <c r="Q12" t="str" cm="1">
        <f t="array" ref="Q12">INDEX(military_assets!N:N,mil_ass_all!$B12)</f>
        <v>0.0.1</v>
      </c>
    </row>
    <row r="13" spans="1:22" ht="15.75" customHeight="1" x14ac:dyDescent="0.25">
      <c r="A13">
        <v>1</v>
      </c>
      <c r="B13">
        <v>7</v>
      </c>
      <c r="C13" s="3" t="s">
        <v>260</v>
      </c>
      <c r="D13" t="str" cm="1">
        <f t="array" ref="D13">INDEX(military_assets!A:A,mil_ass_all!$B13)</f>
        <v>Virginia Class SSN</v>
      </c>
      <c r="E13" cm="1">
        <f t="array" ref="E13">INDEX(military_assets!B:B,mil_ass_all!$B13)</f>
        <v>0</v>
      </c>
      <c r="F13" cm="1">
        <f t="array" ref="F13">INDEX(military_assets!C:C,mil_ass_all!$B13)</f>
        <v>0</v>
      </c>
      <c r="G13" cm="1">
        <f t="array" ref="G13">INDEX(military_assets!D:D,mil_ass_all!$B13)</f>
        <v>0</v>
      </c>
      <c r="H13" cm="1">
        <f t="array" ref="H13">INDEX(military_assets!E:E,mil_ass_all!$B13)</f>
        <v>3</v>
      </c>
      <c r="I13" cm="1">
        <f t="array" ref="I13">INDEX(military_assets!F:F,mil_ass_all!$B13)</f>
        <v>0</v>
      </c>
      <c r="J13" cm="1">
        <f t="array" ref="J13">INDEX(military_assets!G:G,mil_ass_all!$B13)</f>
        <v>4</v>
      </c>
      <c r="K13" cm="1">
        <f t="array" ref="K13">INDEX(military_assets!H:H,mil_ass_all!$B13)</f>
        <v>4</v>
      </c>
      <c r="L13" t="str" cm="1">
        <f t="array" ref="L13">INDEX(military_assets!I:I,mil_ass_all!$B13)</f>
        <v>USN</v>
      </c>
      <c r="M13" t="str" cm="1">
        <f t="array" ref="M13">INDEX(military_assets!J:J,mil_ass_all!$B13)</f>
        <v>Submarine</v>
      </c>
      <c r="N13" t="str" cm="1">
        <f t="array" ref="N13">INDEX(military_assets!K:K,mil_ass_all!$B13)</f>
        <v>Ambush: This asset deals damage during the Ambush Damage Step.
Hidden: Can be played face down. 
Commerce Raider: When assaulting a player, this military asset's assault is equal to its attack.</v>
      </c>
      <c r="O13" t="str" cm="1">
        <f t="array" ref="O13">INDEX(military_assets!L:L,mil_ass_all!$B13)</f>
        <v>Images/virginia.jpg</v>
      </c>
      <c r="P13" t="str" cm="1">
        <f t="array" ref="P13">INDEX(military_assets!M:M,mil_ass_all!$B13)</f>
        <v>The advanced Virginia will be the standard attack submarine of the US Navy until at least the middle of the 21st century.</v>
      </c>
      <c r="Q13" t="str" cm="1">
        <f t="array" ref="Q13">INDEX(military_assets!N:N,mil_ass_all!$B13)</f>
        <v>0.0.1</v>
      </c>
    </row>
    <row r="14" spans="1:22" x14ac:dyDescent="0.25">
      <c r="A14">
        <v>1</v>
      </c>
      <c r="B14">
        <v>8</v>
      </c>
      <c r="C14" s="3" t="s">
        <v>262</v>
      </c>
      <c r="D14" t="str" cm="1">
        <f t="array" ref="D14">INDEX(military_assets!A:A,mil_ass_all!$B14)</f>
        <v>Ohio Class SSGN</v>
      </c>
      <c r="E14" cm="1">
        <f t="array" ref="E14">INDEX(military_assets!B:B,mil_ass_all!$B14)</f>
        <v>0</v>
      </c>
      <c r="F14" cm="1">
        <f t="array" ref="F14">INDEX(military_assets!C:C,mil_ass_all!$B14)</f>
        <v>0</v>
      </c>
      <c r="G14" cm="1">
        <f t="array" ref="G14">INDEX(military_assets!D:D,mil_ass_all!$B14)</f>
        <v>0</v>
      </c>
      <c r="H14" cm="1">
        <f t="array" ref="H14">INDEX(military_assets!E:E,mil_ass_all!$B14)</f>
        <v>3</v>
      </c>
      <c r="I14" cm="1">
        <f t="array" ref="I14">INDEX(military_assets!F:F,mil_ass_all!$B14)</f>
        <v>5</v>
      </c>
      <c r="J14" cm="1">
        <f t="array" ref="J14">INDEX(military_assets!G:G,mil_ass_all!$B14)</f>
        <v>2</v>
      </c>
      <c r="K14" cm="1">
        <f t="array" ref="K14">INDEX(military_assets!H:H,mil_ass_all!$B14)</f>
        <v>5</v>
      </c>
      <c r="L14" t="str" cm="1">
        <f t="array" ref="L14">INDEX(military_assets!I:I,mil_ass_all!$B14)</f>
        <v>USN</v>
      </c>
      <c r="M14" t="str" cm="1">
        <f t="array" ref="M14">INDEX(military_assets!J:J,mil_ass_all!$B14)</f>
        <v>Submarine</v>
      </c>
      <c r="N14" t="str" cm="1">
        <f t="array" ref="N14">INDEX(military_assets!K:K,mil_ass_all!$B14)</f>
        <v xml:space="preserve">Ambush: This asset deals damage during the Ambush Damage Step.
Strategic Strike Capability: At the end of your turn, if this asset is face-up and did not take part of an attack or defense, your opponent must discard one card from their deck.
Hidden: Can be played face down. </v>
      </c>
      <c r="O14" t="str" cm="1">
        <f t="array" ref="O14">INDEX(military_assets!L:L,mil_ass_all!$B14)</f>
        <v>Images/ohio.jpg</v>
      </c>
      <c r="P14" t="str" cm="1">
        <f t="array" ref="P14">INDEX(military_assets!M:M,mil_ass_all!$B14)</f>
        <v>Although Ohio was originally intended to carry nuclear ballistic missiles, some Ohio's have been modified as SSGNs for surface warfare and land-attack missions.</v>
      </c>
      <c r="Q14" t="str" cm="1">
        <f t="array" ref="Q14">INDEX(military_assets!N:N,mil_ass_all!$B14)</f>
        <v>0.0.1</v>
      </c>
    </row>
    <row r="15" spans="1:22" x14ac:dyDescent="0.25">
      <c r="A15">
        <v>1</v>
      </c>
      <c r="B15">
        <v>8</v>
      </c>
      <c r="C15" s="3" t="s">
        <v>263</v>
      </c>
      <c r="D15" t="str" cm="1">
        <f t="array" ref="D15">INDEX(military_assets!A:A,mil_ass_all!$B15)</f>
        <v>Ohio Class SSGN</v>
      </c>
      <c r="E15" cm="1">
        <f t="array" ref="E15">INDEX(military_assets!B:B,mil_ass_all!$B15)</f>
        <v>0</v>
      </c>
      <c r="F15" cm="1">
        <f t="array" ref="F15">INDEX(military_assets!C:C,mil_ass_all!$B15)</f>
        <v>0</v>
      </c>
      <c r="G15" cm="1">
        <f t="array" ref="G15">INDEX(military_assets!D:D,mil_ass_all!$B15)</f>
        <v>0</v>
      </c>
      <c r="H15" cm="1">
        <f t="array" ref="H15">INDEX(military_assets!E:E,mil_ass_all!$B15)</f>
        <v>3</v>
      </c>
      <c r="I15" cm="1">
        <f t="array" ref="I15">INDEX(military_assets!F:F,mil_ass_all!$B15)</f>
        <v>5</v>
      </c>
      <c r="J15" cm="1">
        <f t="array" ref="J15">INDEX(military_assets!G:G,mil_ass_all!$B15)</f>
        <v>2</v>
      </c>
      <c r="K15" cm="1">
        <f t="array" ref="K15">INDEX(military_assets!H:H,mil_ass_all!$B15)</f>
        <v>5</v>
      </c>
      <c r="L15" t="str" cm="1">
        <f t="array" ref="L15">INDEX(military_assets!I:I,mil_ass_all!$B15)</f>
        <v>USN</v>
      </c>
      <c r="M15" t="str" cm="1">
        <f t="array" ref="M15">INDEX(military_assets!J:J,mil_ass_all!$B15)</f>
        <v>Submarine</v>
      </c>
      <c r="N15" t="str" cm="1">
        <f t="array" ref="N15">INDEX(military_assets!K:K,mil_ass_all!$B15)</f>
        <v xml:space="preserve">Ambush: This asset deals damage during the Ambush Damage Step.
Strategic Strike Capability: At the end of your turn, if this asset is face-up and did not take part of an attack or defense, your opponent must discard one card from their deck.
Hidden: Can be played face down. </v>
      </c>
      <c r="O15" t="str" cm="1">
        <f t="array" ref="O15">INDEX(military_assets!L:L,mil_ass_all!$B15)</f>
        <v>Images/ohio.jpg</v>
      </c>
      <c r="P15" t="str" cm="1">
        <f t="array" ref="P15">INDEX(military_assets!M:M,mil_ass_all!$B15)</f>
        <v>Although Ohio was originally intended to carry nuclear ballistic missiles, some Ohio's have been modified as SSGNs for surface warfare and land-attack missions.</v>
      </c>
      <c r="Q15" t="str" cm="1">
        <f t="array" ref="Q15">INDEX(military_assets!N:N,mil_ass_all!$B15)</f>
        <v>0.0.1</v>
      </c>
    </row>
    <row r="16" spans="1:22" x14ac:dyDescent="0.25">
      <c r="A16">
        <v>1</v>
      </c>
      <c r="B16">
        <v>9</v>
      </c>
      <c r="C16" s="3" t="s">
        <v>132</v>
      </c>
      <c r="D16" t="str" cm="1">
        <f t="array" ref="D16">INDEX(military_assets!A:A,mil_ass_all!$B16)</f>
        <v>Ticonderoga Class CG</v>
      </c>
      <c r="E16" cm="1">
        <f t="array" ref="E16">INDEX(military_assets!B:B,mil_ass_all!$B16)</f>
        <v>0</v>
      </c>
      <c r="F16" cm="1">
        <f t="array" ref="F16">INDEX(military_assets!C:C,mil_ass_all!$B16)</f>
        <v>0</v>
      </c>
      <c r="G16" cm="1">
        <f t="array" ref="G16">INDEX(military_assets!D:D,mil_ass_all!$B16)</f>
        <v>0</v>
      </c>
      <c r="H16" cm="1">
        <f t="array" ref="H16">INDEX(military_assets!E:E,mil_ass_all!$B16)</f>
        <v>2</v>
      </c>
      <c r="I16" cm="1">
        <f t="array" ref="I16">INDEX(military_assets!F:F,mil_ass_all!$B16)</f>
        <v>3</v>
      </c>
      <c r="J16" cm="1">
        <f t="array" ref="J16">INDEX(military_assets!G:G,mil_ass_all!$B16)</f>
        <v>3</v>
      </c>
      <c r="K16" cm="1">
        <f t="array" ref="K16">INDEX(military_assets!H:H,mil_ass_all!$B16)</f>
        <v>4</v>
      </c>
      <c r="L16" t="str" cm="1">
        <f t="array" ref="L16">INDEX(military_assets!I:I,mil_ass_all!$B16)</f>
        <v>USN</v>
      </c>
      <c r="M16" t="str" cm="1">
        <f t="array" ref="M16">INDEX(military_assets!J:J,mil_ass_all!$B16)</f>
        <v>Ship</v>
      </c>
      <c r="N16" t="str" cm="1">
        <f t="array" ref="N16">INDEX(military_assets!K:K,mil_ass_all!$B16)</f>
        <v>AEGIS: +2 Help Defense.</v>
      </c>
      <c r="O16" t="str" cm="1">
        <f t="array" ref="O16">INDEX(military_assets!L:L,mil_ass_all!$B16)</f>
        <v>Images/ticonderoga.jpg</v>
      </c>
      <c r="P16" t="str" cm="1">
        <f t="array" ref="P16">INDEX(military_assets!M:M,mil_ass_all!$B16)</f>
        <v>Despite a modest displacement by historical standards, the Ticonderoga is the largest surface combatant in the US Navy.</v>
      </c>
      <c r="Q16" t="str" cm="1">
        <f t="array" ref="Q16">INDEX(military_assets!N:N,mil_ass_all!$B16)</f>
        <v>0.0.1</v>
      </c>
    </row>
    <row r="17" spans="1:17" x14ac:dyDescent="0.25">
      <c r="A17">
        <v>1</v>
      </c>
      <c r="B17">
        <v>9</v>
      </c>
      <c r="C17" s="3" t="s">
        <v>133</v>
      </c>
      <c r="D17" t="str" cm="1">
        <f t="array" ref="D17">INDEX(military_assets!A:A,mil_ass_all!$B17)</f>
        <v>Ticonderoga Class CG</v>
      </c>
      <c r="E17" cm="1">
        <f t="array" ref="E17">INDEX(military_assets!B:B,mil_ass_all!$B17)</f>
        <v>0</v>
      </c>
      <c r="F17" cm="1">
        <f t="array" ref="F17">INDEX(military_assets!C:C,mil_ass_all!$B17)</f>
        <v>0</v>
      </c>
      <c r="G17" cm="1">
        <f t="array" ref="G17">INDEX(military_assets!D:D,mil_ass_all!$B17)</f>
        <v>0</v>
      </c>
      <c r="H17" cm="1">
        <f t="array" ref="H17">INDEX(military_assets!E:E,mil_ass_all!$B17)</f>
        <v>2</v>
      </c>
      <c r="I17" cm="1">
        <f t="array" ref="I17">INDEX(military_assets!F:F,mil_ass_all!$B17)</f>
        <v>3</v>
      </c>
      <c r="J17" cm="1">
        <f t="array" ref="J17">INDEX(military_assets!G:G,mil_ass_all!$B17)</f>
        <v>3</v>
      </c>
      <c r="K17" cm="1">
        <f t="array" ref="K17">INDEX(military_assets!H:H,mil_ass_all!$B17)</f>
        <v>4</v>
      </c>
      <c r="L17" t="str" cm="1">
        <f t="array" ref="L17">INDEX(military_assets!I:I,mil_ass_all!$B17)</f>
        <v>USN</v>
      </c>
      <c r="M17" t="str" cm="1">
        <f t="array" ref="M17">INDEX(military_assets!J:J,mil_ass_all!$B17)</f>
        <v>Ship</v>
      </c>
      <c r="N17" t="str" cm="1">
        <f t="array" ref="N17">INDEX(military_assets!K:K,mil_ass_all!$B17)</f>
        <v>AEGIS: +2 Help Defense.</v>
      </c>
      <c r="O17" t="str" cm="1">
        <f t="array" ref="O17">INDEX(military_assets!L:L,mil_ass_all!$B17)</f>
        <v>Images/ticonderoga.jpg</v>
      </c>
      <c r="P17" t="str" cm="1">
        <f t="array" ref="P17">INDEX(military_assets!M:M,mil_ass_all!$B17)</f>
        <v>Despite a modest displacement by historical standards, the Ticonderoga is the largest surface combatant in the US Navy.</v>
      </c>
      <c r="Q17" t="str" cm="1">
        <f t="array" ref="Q17">INDEX(military_assets!N:N,mil_ass_all!$B17)</f>
        <v>0.0.1</v>
      </c>
    </row>
    <row r="18" spans="1:17" x14ac:dyDescent="0.25">
      <c r="A18">
        <v>1</v>
      </c>
      <c r="B18">
        <v>9</v>
      </c>
      <c r="C18" s="3" t="s">
        <v>264</v>
      </c>
      <c r="D18" t="str" cm="1">
        <f t="array" ref="D18">INDEX(military_assets!A:A,mil_ass_all!$B18)</f>
        <v>Ticonderoga Class CG</v>
      </c>
      <c r="E18" cm="1">
        <f t="array" ref="E18">INDEX(military_assets!B:B,mil_ass_all!$B18)</f>
        <v>0</v>
      </c>
      <c r="F18" cm="1">
        <f t="array" ref="F18">INDEX(military_assets!C:C,mil_ass_all!$B18)</f>
        <v>0</v>
      </c>
      <c r="G18" cm="1">
        <f t="array" ref="G18">INDEX(military_assets!D:D,mil_ass_all!$B18)</f>
        <v>0</v>
      </c>
      <c r="H18" cm="1">
        <f t="array" ref="H18">INDEX(military_assets!E:E,mil_ass_all!$B18)</f>
        <v>2</v>
      </c>
      <c r="I18" cm="1">
        <f t="array" ref="I18">INDEX(military_assets!F:F,mil_ass_all!$B18)</f>
        <v>3</v>
      </c>
      <c r="J18" cm="1">
        <f t="array" ref="J18">INDEX(military_assets!G:G,mil_ass_all!$B18)</f>
        <v>3</v>
      </c>
      <c r="K18" cm="1">
        <f t="array" ref="K18">INDEX(military_assets!H:H,mil_ass_all!$B18)</f>
        <v>4</v>
      </c>
      <c r="L18" t="str" cm="1">
        <f t="array" ref="L18">INDEX(military_assets!I:I,mil_ass_all!$B18)</f>
        <v>USN</v>
      </c>
      <c r="M18" t="str" cm="1">
        <f t="array" ref="M18">INDEX(military_assets!J:J,mil_ass_all!$B18)</f>
        <v>Ship</v>
      </c>
      <c r="N18" t="str" cm="1">
        <f t="array" ref="N18">INDEX(military_assets!K:K,mil_ass_all!$B18)</f>
        <v>AEGIS: +2 Help Defense.</v>
      </c>
      <c r="O18" t="str" cm="1">
        <f t="array" ref="O18">INDEX(military_assets!L:L,mil_ass_all!$B18)</f>
        <v>Images/ticonderoga.jpg</v>
      </c>
      <c r="P18" t="str" cm="1">
        <f t="array" ref="P18">INDEX(military_assets!M:M,mil_ass_all!$B18)</f>
        <v>Despite a modest displacement by historical standards, the Ticonderoga is the largest surface combatant in the US Navy.</v>
      </c>
      <c r="Q18" t="str" cm="1">
        <f t="array" ref="Q18">INDEX(military_assets!N:N,mil_ass_all!$B18)</f>
        <v>0.0.1</v>
      </c>
    </row>
    <row r="19" spans="1:17" x14ac:dyDescent="0.25">
      <c r="A19">
        <v>1</v>
      </c>
      <c r="B19">
        <v>10</v>
      </c>
      <c r="C19" s="3" t="s">
        <v>123</v>
      </c>
      <c r="D19" t="str" cm="1">
        <f t="array" ref="D19">INDEX(military_assets!A:A,mil_ass_all!$B19)</f>
        <v>Arleigh Burke Class DDG</v>
      </c>
      <c r="E19" cm="1">
        <f t="array" ref="E19">INDEX(military_assets!B:B,mil_ass_all!$B19)</f>
        <v>0</v>
      </c>
      <c r="F19" cm="1">
        <f t="array" ref="F19">INDEX(military_assets!C:C,mil_ass_all!$B19)</f>
        <v>0</v>
      </c>
      <c r="G19" cm="1">
        <f t="array" ref="G19">INDEX(military_assets!D:D,mil_ass_all!$B19)</f>
        <v>0</v>
      </c>
      <c r="H19" cm="1">
        <f t="array" ref="H19">INDEX(military_assets!E:E,mil_ass_all!$B19)</f>
        <v>2</v>
      </c>
      <c r="I19" cm="1">
        <f t="array" ref="I19">INDEX(military_assets!F:F,mil_ass_all!$B19)</f>
        <v>3</v>
      </c>
      <c r="J19" cm="1">
        <f t="array" ref="J19">INDEX(military_assets!G:G,mil_ass_all!$B19)</f>
        <v>2</v>
      </c>
      <c r="K19" cm="1">
        <f t="array" ref="K19">INDEX(military_assets!H:H,mil_ass_all!$B19)</f>
        <v>3</v>
      </c>
      <c r="L19" t="str" cm="1">
        <f t="array" ref="L19">INDEX(military_assets!I:I,mil_ass_all!$B19)</f>
        <v>USN</v>
      </c>
      <c r="M19" t="str" cm="1">
        <f t="array" ref="M19">INDEX(military_assets!J:J,mil_ass_all!$B19)</f>
        <v>Ship</v>
      </c>
      <c r="N19" t="str" cm="1">
        <f t="array" ref="N19">INDEX(military_assets!K:K,mil_ass_all!$B19)</f>
        <v>AEGIS: +2 Help Defense.</v>
      </c>
      <c r="O19" t="str" cm="1">
        <f t="array" ref="O19">INDEX(military_assets!L:L,mil_ass_all!$B19)</f>
        <v>Images/arleighburke.jpg</v>
      </c>
      <c r="P19" t="str" cm="1">
        <f t="array" ref="P19">INDEX(military_assets!M:M,mil_ass_all!$B19)</f>
        <v>The multi-mission Arleigh Burke is the most numerous ship in the US Navy.</v>
      </c>
      <c r="Q19" t="str" cm="1">
        <f t="array" ref="Q19">INDEX(military_assets!N:N,mil_ass_all!$B19)</f>
        <v>0.0.1</v>
      </c>
    </row>
    <row r="20" spans="1:17" x14ac:dyDescent="0.25">
      <c r="A20">
        <v>1</v>
      </c>
      <c r="B20">
        <v>10</v>
      </c>
      <c r="C20" s="3" t="s">
        <v>124</v>
      </c>
      <c r="D20" t="str" cm="1">
        <f t="array" ref="D20">INDEX(military_assets!A:A,mil_ass_all!$B20)</f>
        <v>Arleigh Burke Class DDG</v>
      </c>
      <c r="E20" cm="1">
        <f t="array" ref="E20">INDEX(military_assets!B:B,mil_ass_all!$B20)</f>
        <v>0</v>
      </c>
      <c r="F20" cm="1">
        <f t="array" ref="F20">INDEX(military_assets!C:C,mil_ass_all!$B20)</f>
        <v>0</v>
      </c>
      <c r="G20" cm="1">
        <f t="array" ref="G20">INDEX(military_assets!D:D,mil_ass_all!$B20)</f>
        <v>0</v>
      </c>
      <c r="H20" cm="1">
        <f t="array" ref="H20">INDEX(military_assets!E:E,mil_ass_all!$B20)</f>
        <v>2</v>
      </c>
      <c r="I20" cm="1">
        <f t="array" ref="I20">INDEX(military_assets!F:F,mil_ass_all!$B20)</f>
        <v>3</v>
      </c>
      <c r="J20" cm="1">
        <f t="array" ref="J20">INDEX(military_assets!G:G,mil_ass_all!$B20)</f>
        <v>2</v>
      </c>
      <c r="K20" cm="1">
        <f t="array" ref="K20">INDEX(military_assets!H:H,mil_ass_all!$B20)</f>
        <v>3</v>
      </c>
      <c r="L20" t="str" cm="1">
        <f t="array" ref="L20">INDEX(military_assets!I:I,mil_ass_all!$B20)</f>
        <v>USN</v>
      </c>
      <c r="M20" t="str" cm="1">
        <f t="array" ref="M20">INDEX(military_assets!J:J,mil_ass_all!$B20)</f>
        <v>Ship</v>
      </c>
      <c r="N20" t="str" cm="1">
        <f t="array" ref="N20">INDEX(military_assets!K:K,mil_ass_all!$B20)</f>
        <v>AEGIS: +2 Help Defense.</v>
      </c>
      <c r="O20" t="str" cm="1">
        <f t="array" ref="O20">INDEX(military_assets!L:L,mil_ass_all!$B20)</f>
        <v>Images/arleighburke.jpg</v>
      </c>
      <c r="P20" t="str" cm="1">
        <f t="array" ref="P20">INDEX(military_assets!M:M,mil_ass_all!$B20)</f>
        <v>The multi-mission Arleigh Burke is the most numerous ship in the US Navy.</v>
      </c>
      <c r="Q20" t="str" cm="1">
        <f t="array" ref="Q20">INDEX(military_assets!N:N,mil_ass_all!$B20)</f>
        <v>0.0.1</v>
      </c>
    </row>
    <row r="21" spans="1:17" x14ac:dyDescent="0.25">
      <c r="A21">
        <v>1</v>
      </c>
      <c r="B21">
        <v>10</v>
      </c>
      <c r="C21" s="3" t="s">
        <v>125</v>
      </c>
      <c r="D21" t="str" cm="1">
        <f t="array" ref="D21">INDEX(military_assets!A:A,mil_ass_all!$B21)</f>
        <v>Arleigh Burke Class DDG</v>
      </c>
      <c r="E21" cm="1">
        <f t="array" ref="E21">INDEX(military_assets!B:B,mil_ass_all!$B21)</f>
        <v>0</v>
      </c>
      <c r="F21" cm="1">
        <f t="array" ref="F21">INDEX(military_assets!C:C,mil_ass_all!$B21)</f>
        <v>0</v>
      </c>
      <c r="G21" cm="1">
        <f t="array" ref="G21">INDEX(military_assets!D:D,mil_ass_all!$B21)</f>
        <v>0</v>
      </c>
      <c r="H21" cm="1">
        <f t="array" ref="H21">INDEX(military_assets!E:E,mil_ass_all!$B21)</f>
        <v>2</v>
      </c>
      <c r="I21" cm="1">
        <f t="array" ref="I21">INDEX(military_assets!F:F,mil_ass_all!$B21)</f>
        <v>3</v>
      </c>
      <c r="J21" cm="1">
        <f t="array" ref="J21">INDEX(military_assets!G:G,mil_ass_all!$B21)</f>
        <v>2</v>
      </c>
      <c r="K21" cm="1">
        <f t="array" ref="K21">INDEX(military_assets!H:H,mil_ass_all!$B21)</f>
        <v>3</v>
      </c>
      <c r="L21" t="str" cm="1">
        <f t="array" ref="L21">INDEX(military_assets!I:I,mil_ass_all!$B21)</f>
        <v>USN</v>
      </c>
      <c r="M21" t="str" cm="1">
        <f t="array" ref="M21">INDEX(military_assets!J:J,mil_ass_all!$B21)</f>
        <v>Ship</v>
      </c>
      <c r="N21" t="str" cm="1">
        <f t="array" ref="N21">INDEX(military_assets!K:K,mil_ass_all!$B21)</f>
        <v>AEGIS: +2 Help Defense.</v>
      </c>
      <c r="O21" t="str" cm="1">
        <f t="array" ref="O21">INDEX(military_assets!L:L,mil_ass_all!$B21)</f>
        <v>Images/arleighburke.jpg</v>
      </c>
      <c r="P21" t="str" cm="1">
        <f t="array" ref="P21">INDEX(military_assets!M:M,mil_ass_all!$B21)</f>
        <v>The multi-mission Arleigh Burke is the most numerous ship in the US Navy.</v>
      </c>
      <c r="Q21" t="str" cm="1">
        <f t="array" ref="Q21">INDEX(military_assets!N:N,mil_ass_all!$B21)</f>
        <v>0.0.1</v>
      </c>
    </row>
    <row r="22" spans="1:17" x14ac:dyDescent="0.25">
      <c r="A22">
        <v>1</v>
      </c>
      <c r="B22">
        <v>10</v>
      </c>
      <c r="C22" s="3" t="s">
        <v>265</v>
      </c>
      <c r="D22" t="str" cm="1">
        <f t="array" ref="D22">INDEX(military_assets!A:A,mil_ass_all!$B22)</f>
        <v>Arleigh Burke Class DDG</v>
      </c>
      <c r="E22" cm="1">
        <f t="array" ref="E22">INDEX(military_assets!B:B,mil_ass_all!$B22)</f>
        <v>0</v>
      </c>
      <c r="F22" cm="1">
        <f t="array" ref="F22">INDEX(military_assets!C:C,mil_ass_all!$B22)</f>
        <v>0</v>
      </c>
      <c r="G22" cm="1">
        <f t="array" ref="G22">INDEX(military_assets!D:D,mil_ass_all!$B22)</f>
        <v>0</v>
      </c>
      <c r="H22" cm="1">
        <f t="array" ref="H22">INDEX(military_assets!E:E,mil_ass_all!$B22)</f>
        <v>2</v>
      </c>
      <c r="I22" cm="1">
        <f t="array" ref="I22">INDEX(military_assets!F:F,mil_ass_all!$B22)</f>
        <v>3</v>
      </c>
      <c r="J22" cm="1">
        <f t="array" ref="J22">INDEX(military_assets!G:G,mil_ass_all!$B22)</f>
        <v>2</v>
      </c>
      <c r="K22" cm="1">
        <f t="array" ref="K22">INDEX(military_assets!H:H,mil_ass_all!$B22)</f>
        <v>3</v>
      </c>
      <c r="L22" t="str" cm="1">
        <f t="array" ref="L22">INDEX(military_assets!I:I,mil_ass_all!$B22)</f>
        <v>USN</v>
      </c>
      <c r="M22" t="str" cm="1">
        <f t="array" ref="M22">INDEX(military_assets!J:J,mil_ass_all!$B22)</f>
        <v>Ship</v>
      </c>
      <c r="N22" t="str" cm="1">
        <f t="array" ref="N22">INDEX(military_assets!K:K,mil_ass_all!$B22)</f>
        <v>AEGIS: +2 Help Defense.</v>
      </c>
      <c r="O22" t="str" cm="1">
        <f t="array" ref="O22">INDEX(military_assets!L:L,mil_ass_all!$B22)</f>
        <v>Images/arleighburke.jpg</v>
      </c>
      <c r="P22" t="str" cm="1">
        <f t="array" ref="P22">INDEX(military_assets!M:M,mil_ass_all!$B22)</f>
        <v>The multi-mission Arleigh Burke is the most numerous ship in the US Navy.</v>
      </c>
      <c r="Q22" t="str" cm="1">
        <f t="array" ref="Q22">INDEX(military_assets!N:N,mil_ass_all!$B22)</f>
        <v>0.0.1</v>
      </c>
    </row>
    <row r="23" spans="1:17" x14ac:dyDescent="0.25">
      <c r="A23">
        <v>1</v>
      </c>
      <c r="B23">
        <v>10</v>
      </c>
      <c r="C23" s="3" t="s">
        <v>266</v>
      </c>
      <c r="D23" t="str" cm="1">
        <f t="array" ref="D23">INDEX(military_assets!A:A,mil_ass_all!$B23)</f>
        <v>Arleigh Burke Class DDG</v>
      </c>
      <c r="E23" cm="1">
        <f t="array" ref="E23">INDEX(military_assets!B:B,mil_ass_all!$B23)</f>
        <v>0</v>
      </c>
      <c r="F23" cm="1">
        <f t="array" ref="F23">INDEX(military_assets!C:C,mil_ass_all!$B23)</f>
        <v>0</v>
      </c>
      <c r="G23" cm="1">
        <f t="array" ref="G23">INDEX(military_assets!D:D,mil_ass_all!$B23)</f>
        <v>0</v>
      </c>
      <c r="H23" cm="1">
        <f t="array" ref="H23">INDEX(military_assets!E:E,mil_ass_all!$B23)</f>
        <v>2</v>
      </c>
      <c r="I23" cm="1">
        <f t="array" ref="I23">INDEX(military_assets!F:F,mil_ass_all!$B23)</f>
        <v>3</v>
      </c>
      <c r="J23" cm="1">
        <f t="array" ref="J23">INDEX(military_assets!G:G,mil_ass_all!$B23)</f>
        <v>2</v>
      </c>
      <c r="K23" cm="1">
        <f t="array" ref="K23">INDEX(military_assets!H:H,mil_ass_all!$B23)</f>
        <v>3</v>
      </c>
      <c r="L23" t="str" cm="1">
        <f t="array" ref="L23">INDEX(military_assets!I:I,mil_ass_all!$B23)</f>
        <v>USN</v>
      </c>
      <c r="M23" t="str" cm="1">
        <f t="array" ref="M23">INDEX(military_assets!J:J,mil_ass_all!$B23)</f>
        <v>Ship</v>
      </c>
      <c r="N23" t="str" cm="1">
        <f t="array" ref="N23">INDEX(military_assets!K:K,mil_ass_all!$B23)</f>
        <v>AEGIS: +2 Help Defense.</v>
      </c>
      <c r="O23" t="str" cm="1">
        <f t="array" ref="O23">INDEX(military_assets!L:L,mil_ass_all!$B23)</f>
        <v>Images/arleighburke.jpg</v>
      </c>
      <c r="P23" t="str" cm="1">
        <f t="array" ref="P23">INDEX(military_assets!M:M,mil_ass_all!$B23)</f>
        <v>The multi-mission Arleigh Burke is the most numerous ship in the US Navy.</v>
      </c>
      <c r="Q23" t="str" cm="1">
        <f t="array" ref="Q23">INDEX(military_assets!N:N,mil_ass_all!$B23)</f>
        <v>0.0.1</v>
      </c>
    </row>
    <row r="24" spans="1:17" x14ac:dyDescent="0.25">
      <c r="A24">
        <v>1</v>
      </c>
      <c r="B24">
        <v>11</v>
      </c>
      <c r="C24" s="3" t="s">
        <v>267</v>
      </c>
      <c r="D24" t="str" cm="1">
        <f t="array" ref="D24">INDEX(military_assets!A:A,mil_ass_all!$B24)</f>
        <v>Zumwalt Class DDG</v>
      </c>
      <c r="E24" cm="1">
        <f t="array" ref="E24">INDEX(military_assets!B:B,mil_ass_all!$B24)</f>
        <v>0</v>
      </c>
      <c r="F24" cm="1">
        <f t="array" ref="F24">INDEX(military_assets!C:C,mil_ass_all!$B24)</f>
        <v>0</v>
      </c>
      <c r="G24" cm="1">
        <f t="array" ref="G24">INDEX(military_assets!D:D,mil_ass_all!$B24)</f>
        <v>0</v>
      </c>
      <c r="H24" cm="1">
        <f t="array" ref="H24">INDEX(military_assets!E:E,mil_ass_all!$B24)</f>
        <v>2</v>
      </c>
      <c r="I24" cm="1">
        <f t="array" ref="I24">INDEX(military_assets!F:F,mil_ass_all!$B24)</f>
        <v>4</v>
      </c>
      <c r="J24" cm="1">
        <f t="array" ref="J24">INDEX(military_assets!G:G,mil_ass_all!$B24)</f>
        <v>3</v>
      </c>
      <c r="K24" cm="1">
        <f t="array" ref="K24">INDEX(military_assets!H:H,mil_ass_all!$B24)</f>
        <v>3</v>
      </c>
      <c r="L24" t="str" cm="1">
        <f t="array" ref="L24">INDEX(military_assets!I:I,mil_ass_all!$B24)</f>
        <v>USN</v>
      </c>
      <c r="M24" t="str" cm="1">
        <f t="array" ref="M24">INDEX(military_assets!J:J,mil_ass_all!$B24)</f>
        <v>Ship</v>
      </c>
      <c r="N24" t="str" cm="1">
        <f t="array" ref="N24">INDEX(military_assets!K:K,mil_ass_all!$B24)</f>
        <v xml:space="preserve">Hidden: Can be played face down. </v>
      </c>
      <c r="O24" t="str" cm="1">
        <f t="array" ref="O24">INDEX(military_assets!L:L,mil_ass_all!$B24)</f>
        <v>Images/zumwalt.jpg</v>
      </c>
      <c r="P24" t="str" cm="1">
        <f t="array" ref="P24">INDEX(military_assets!M:M,mil_ass_all!$B24)</f>
        <v>With a cost of $1M per shot from its main howitzer, it is important for the crew of a Zumwalt to aim carefully.</v>
      </c>
      <c r="Q24" t="str" cm="1">
        <f t="array" ref="Q24">INDEX(military_assets!N:N,mil_ass_all!$B24)</f>
        <v>0.0.1</v>
      </c>
    </row>
    <row r="25" spans="1:17" x14ac:dyDescent="0.25">
      <c r="A25">
        <v>1</v>
      </c>
      <c r="B25">
        <v>11</v>
      </c>
      <c r="C25" s="3" t="s">
        <v>268</v>
      </c>
      <c r="D25" t="str" cm="1">
        <f t="array" ref="D25">INDEX(military_assets!A:A,mil_ass_all!$B25)</f>
        <v>Zumwalt Class DDG</v>
      </c>
      <c r="E25" cm="1">
        <f t="array" ref="E25">INDEX(military_assets!B:B,mil_ass_all!$B25)</f>
        <v>0</v>
      </c>
      <c r="F25" cm="1">
        <f t="array" ref="F25">INDEX(military_assets!C:C,mil_ass_all!$B25)</f>
        <v>0</v>
      </c>
      <c r="G25" cm="1">
        <f t="array" ref="G25">INDEX(military_assets!D:D,mil_ass_all!$B25)</f>
        <v>0</v>
      </c>
      <c r="H25" cm="1">
        <f t="array" ref="H25">INDEX(military_assets!E:E,mil_ass_all!$B25)</f>
        <v>2</v>
      </c>
      <c r="I25" cm="1">
        <f t="array" ref="I25">INDEX(military_assets!F:F,mil_ass_all!$B25)</f>
        <v>4</v>
      </c>
      <c r="J25" cm="1">
        <f t="array" ref="J25">INDEX(military_assets!G:G,mil_ass_all!$B25)</f>
        <v>3</v>
      </c>
      <c r="K25" cm="1">
        <f t="array" ref="K25">INDEX(military_assets!H:H,mil_ass_all!$B25)</f>
        <v>3</v>
      </c>
      <c r="L25" t="str" cm="1">
        <f t="array" ref="L25">INDEX(military_assets!I:I,mil_ass_all!$B25)</f>
        <v>USN</v>
      </c>
      <c r="M25" t="str" cm="1">
        <f t="array" ref="M25">INDEX(military_assets!J:J,mil_ass_all!$B25)</f>
        <v>Ship</v>
      </c>
      <c r="N25" t="str" cm="1">
        <f t="array" ref="N25">INDEX(military_assets!K:K,mil_ass_all!$B25)</f>
        <v xml:space="preserve">Hidden: Can be played face down. </v>
      </c>
      <c r="O25" t="str" cm="1">
        <f t="array" ref="O25">INDEX(military_assets!L:L,mil_ass_all!$B25)</f>
        <v>Images/zumwalt.jpg</v>
      </c>
      <c r="P25" t="str" cm="1">
        <f t="array" ref="P25">INDEX(military_assets!M:M,mil_ass_all!$B25)</f>
        <v>With a cost of $1M per shot from its main howitzer, it is important for the crew of a Zumwalt to aim carefully.</v>
      </c>
      <c r="Q25" t="str" cm="1">
        <f t="array" ref="Q25">INDEX(military_assets!N:N,mil_ass_all!$B25)</f>
        <v>0.0.1</v>
      </c>
    </row>
    <row r="26" spans="1:17" x14ac:dyDescent="0.25">
      <c r="A26">
        <v>1</v>
      </c>
      <c r="B26">
        <v>12</v>
      </c>
      <c r="C26" s="2" t="s">
        <v>269</v>
      </c>
      <c r="D26" t="str" cm="1">
        <f t="array" ref="D26">INDEX(military_assets!A:A,mil_ass_all!$B26)</f>
        <v>F/A-18E Superhornet</v>
      </c>
      <c r="E26" cm="1">
        <f t="array" ref="E26">INDEX(military_assets!B:B,mil_ass_all!$B26)</f>
        <v>0</v>
      </c>
      <c r="F26" cm="1">
        <f t="array" ref="F26">INDEX(military_assets!C:C,mil_ass_all!$B26)</f>
        <v>0</v>
      </c>
      <c r="G26" cm="1">
        <f t="array" ref="G26">INDEX(military_assets!D:D,mil_ass_all!$B26)</f>
        <v>0</v>
      </c>
      <c r="H26" cm="1">
        <f t="array" ref="H26">INDEX(military_assets!E:E,mil_ass_all!$B26)</f>
        <v>4</v>
      </c>
      <c r="I26" cm="1">
        <f t="array" ref="I26">INDEX(military_assets!F:F,mil_ass_all!$B26)</f>
        <v>4</v>
      </c>
      <c r="J26" cm="1">
        <f t="array" ref="J26">INDEX(military_assets!G:G,mil_ass_all!$B26)</f>
        <v>3</v>
      </c>
      <c r="K26" cm="1">
        <f t="array" ref="K26">INDEX(military_assets!H:H,mil_ass_all!$B26)</f>
        <v>2</v>
      </c>
      <c r="L26" t="str" cm="1">
        <f t="array" ref="L26">INDEX(military_assets!I:I,mil_ass_all!$B26)</f>
        <v>USN</v>
      </c>
      <c r="M26" t="str" cm="1">
        <f t="array" ref="M26">INDEX(military_assets!J:J,mil_ass_all!$B26)</f>
        <v>Squadron</v>
      </c>
      <c r="N26" t="str" cm="1">
        <f t="array" ref="N26">INDEX(military_assets!K:K,mil_ass_all!$B26)</f>
        <v>Hidden: Can be played face down. 
CATOBAR-Compatible.</v>
      </c>
      <c r="O26" t="str" cm="1">
        <f t="array" ref="O26">INDEX(military_assets!L:L,mil_ass_all!$B26)</f>
        <v>Images/f18.jpg</v>
      </c>
      <c r="P26" t="str" cm="1">
        <f t="array" ref="P26">INDEX(military_assets!M:M,mil_ass_all!$B26)</f>
        <v>The F/A-18 is one of the longest-tenured and most battle-proven multi-role carrier aircraft in the world.</v>
      </c>
      <c r="Q26" t="str" cm="1">
        <f t="array" ref="Q26">INDEX(military_assets!N:N,mil_ass_all!$B26)</f>
        <v>0.0.1</v>
      </c>
    </row>
    <row r="27" spans="1:17" x14ac:dyDescent="0.25">
      <c r="A27">
        <v>1</v>
      </c>
      <c r="B27">
        <v>12</v>
      </c>
      <c r="C27" s="2" t="s">
        <v>270</v>
      </c>
      <c r="D27" t="str" cm="1">
        <f t="array" ref="D27">INDEX(military_assets!A:A,mil_ass_all!$B27)</f>
        <v>F/A-18E Superhornet</v>
      </c>
      <c r="E27" cm="1">
        <f t="array" ref="E27">INDEX(military_assets!B:B,mil_ass_all!$B27)</f>
        <v>0</v>
      </c>
      <c r="F27" cm="1">
        <f t="array" ref="F27">INDEX(military_assets!C:C,mil_ass_all!$B27)</f>
        <v>0</v>
      </c>
      <c r="G27" cm="1">
        <f t="array" ref="G27">INDEX(military_assets!D:D,mil_ass_all!$B27)</f>
        <v>0</v>
      </c>
      <c r="H27" cm="1">
        <f t="array" ref="H27">INDEX(military_assets!E:E,mil_ass_all!$B27)</f>
        <v>4</v>
      </c>
      <c r="I27" cm="1">
        <f t="array" ref="I27">INDEX(military_assets!F:F,mil_ass_all!$B27)</f>
        <v>4</v>
      </c>
      <c r="J27" cm="1">
        <f t="array" ref="J27">INDEX(military_assets!G:G,mil_ass_all!$B27)</f>
        <v>3</v>
      </c>
      <c r="K27" cm="1">
        <f t="array" ref="K27">INDEX(military_assets!H:H,mil_ass_all!$B27)</f>
        <v>2</v>
      </c>
      <c r="L27" t="str" cm="1">
        <f t="array" ref="L27">INDEX(military_assets!I:I,mil_ass_all!$B27)</f>
        <v>USN</v>
      </c>
      <c r="M27" t="str" cm="1">
        <f t="array" ref="M27">INDEX(military_assets!J:J,mil_ass_all!$B27)</f>
        <v>Squadron</v>
      </c>
      <c r="N27" t="str" cm="1">
        <f t="array" ref="N27">INDEX(military_assets!K:K,mil_ass_all!$B27)</f>
        <v>Hidden: Can be played face down. 
CATOBAR-Compatible.</v>
      </c>
      <c r="O27" t="str" cm="1">
        <f t="array" ref="O27">INDEX(military_assets!L:L,mil_ass_all!$B27)</f>
        <v>Images/f18.jpg</v>
      </c>
      <c r="P27" t="str" cm="1">
        <f t="array" ref="P27">INDEX(military_assets!M:M,mil_ass_all!$B27)</f>
        <v>The F/A-18 is one of the longest-tenured and most battle-proven multi-role carrier aircraft in the world.</v>
      </c>
      <c r="Q27" t="str" cm="1">
        <f t="array" ref="Q27">INDEX(military_assets!N:N,mil_ass_all!$B27)</f>
        <v>0.0.1</v>
      </c>
    </row>
    <row r="28" spans="1:17" x14ac:dyDescent="0.25">
      <c r="A28">
        <v>1</v>
      </c>
      <c r="B28">
        <v>12</v>
      </c>
      <c r="C28" s="2" t="s">
        <v>272</v>
      </c>
      <c r="D28" t="str" cm="1">
        <f t="array" ref="D28">INDEX(military_assets!A:A,mil_ass_all!$B28)</f>
        <v>F/A-18E Superhornet</v>
      </c>
      <c r="E28" cm="1">
        <f t="array" ref="E28">INDEX(military_assets!B:B,mil_ass_all!$B28)</f>
        <v>0</v>
      </c>
      <c r="F28" cm="1">
        <f t="array" ref="F28">INDEX(military_assets!C:C,mil_ass_all!$B28)</f>
        <v>0</v>
      </c>
      <c r="G28" cm="1">
        <f t="array" ref="G28">INDEX(military_assets!D:D,mil_ass_all!$B28)</f>
        <v>0</v>
      </c>
      <c r="H28" cm="1">
        <f t="array" ref="H28">INDEX(military_assets!E:E,mil_ass_all!$B28)</f>
        <v>4</v>
      </c>
      <c r="I28" cm="1">
        <f t="array" ref="I28">INDEX(military_assets!F:F,mil_ass_all!$B28)</f>
        <v>4</v>
      </c>
      <c r="J28" cm="1">
        <f t="array" ref="J28">INDEX(military_assets!G:G,mil_ass_all!$B28)</f>
        <v>3</v>
      </c>
      <c r="K28" cm="1">
        <f t="array" ref="K28">INDEX(military_assets!H:H,mil_ass_all!$B28)</f>
        <v>2</v>
      </c>
      <c r="L28" t="str" cm="1">
        <f t="array" ref="L28">INDEX(military_assets!I:I,mil_ass_all!$B28)</f>
        <v>USN</v>
      </c>
      <c r="M28" t="str" cm="1">
        <f t="array" ref="M28">INDEX(military_assets!J:J,mil_ass_all!$B28)</f>
        <v>Squadron</v>
      </c>
      <c r="N28" t="str" cm="1">
        <f t="array" ref="N28">INDEX(military_assets!K:K,mil_ass_all!$B28)</f>
        <v>Hidden: Can be played face down. 
CATOBAR-Compatible.</v>
      </c>
      <c r="O28" t="str" cm="1">
        <f t="array" ref="O28">INDEX(military_assets!L:L,mil_ass_all!$B28)</f>
        <v>Images/f18.jpg</v>
      </c>
      <c r="P28" t="str" cm="1">
        <f t="array" ref="P28">INDEX(military_assets!M:M,mil_ass_all!$B28)</f>
        <v>The F/A-18 is one of the longest-tenured and most battle-proven multi-role carrier aircraft in the world.</v>
      </c>
      <c r="Q28" t="str" cm="1">
        <f t="array" ref="Q28">INDEX(military_assets!N:N,mil_ass_all!$B28)</f>
        <v>0.0.1</v>
      </c>
    </row>
    <row r="29" spans="1:17" x14ac:dyDescent="0.25">
      <c r="A29">
        <v>1</v>
      </c>
      <c r="B29">
        <v>12</v>
      </c>
      <c r="C29" s="2" t="s">
        <v>271</v>
      </c>
      <c r="D29" t="str" cm="1">
        <f t="array" ref="D29">INDEX(military_assets!A:A,mil_ass_all!$B29)</f>
        <v>F/A-18E Superhornet</v>
      </c>
      <c r="E29" cm="1">
        <f t="array" ref="E29">INDEX(military_assets!B:B,mil_ass_all!$B29)</f>
        <v>0</v>
      </c>
      <c r="F29" cm="1">
        <f t="array" ref="F29">INDEX(military_assets!C:C,mil_ass_all!$B29)</f>
        <v>0</v>
      </c>
      <c r="G29" cm="1">
        <f t="array" ref="G29">INDEX(military_assets!D:D,mil_ass_all!$B29)</f>
        <v>0</v>
      </c>
      <c r="H29" cm="1">
        <f t="array" ref="H29">INDEX(military_assets!E:E,mil_ass_all!$B29)</f>
        <v>4</v>
      </c>
      <c r="I29" cm="1">
        <f t="array" ref="I29">INDEX(military_assets!F:F,mil_ass_all!$B29)</f>
        <v>4</v>
      </c>
      <c r="J29" cm="1">
        <f t="array" ref="J29">INDEX(military_assets!G:G,mil_ass_all!$B29)</f>
        <v>3</v>
      </c>
      <c r="K29" cm="1">
        <f t="array" ref="K29">INDEX(military_assets!H:H,mil_ass_all!$B29)</f>
        <v>2</v>
      </c>
      <c r="L29" t="str" cm="1">
        <f t="array" ref="L29">INDEX(military_assets!I:I,mil_ass_all!$B29)</f>
        <v>USN</v>
      </c>
      <c r="M29" t="str" cm="1">
        <f t="array" ref="M29">INDEX(military_assets!J:J,mil_ass_all!$B29)</f>
        <v>Squadron</v>
      </c>
      <c r="N29" t="str" cm="1">
        <f t="array" ref="N29">INDEX(military_assets!K:K,mil_ass_all!$B29)</f>
        <v>Hidden: Can be played face down. 
CATOBAR-Compatible.</v>
      </c>
      <c r="O29" t="str" cm="1">
        <f t="array" ref="O29">INDEX(military_assets!L:L,mil_ass_all!$B29)</f>
        <v>Images/f18.jpg</v>
      </c>
      <c r="P29" t="str" cm="1">
        <f t="array" ref="P29">INDEX(military_assets!M:M,mil_ass_all!$B29)</f>
        <v>The F/A-18 is one of the longest-tenured and most battle-proven multi-role carrier aircraft in the world.</v>
      </c>
      <c r="Q29" t="str" cm="1">
        <f t="array" ref="Q29">INDEX(military_assets!N:N,mil_ass_all!$B29)</f>
        <v>0.0.1</v>
      </c>
    </row>
    <row r="30" spans="1:17" x14ac:dyDescent="0.25">
      <c r="A30">
        <v>1</v>
      </c>
      <c r="B30">
        <v>12</v>
      </c>
      <c r="C30" s="2" t="s">
        <v>273</v>
      </c>
      <c r="D30" t="str" cm="1">
        <f t="array" ref="D30">INDEX(military_assets!A:A,mil_ass_all!$B30)</f>
        <v>F/A-18E Superhornet</v>
      </c>
      <c r="E30" cm="1">
        <f t="array" ref="E30">INDEX(military_assets!B:B,mil_ass_all!$B30)</f>
        <v>0</v>
      </c>
      <c r="F30" cm="1">
        <f t="array" ref="F30">INDEX(military_assets!C:C,mil_ass_all!$B30)</f>
        <v>0</v>
      </c>
      <c r="G30" cm="1">
        <f t="array" ref="G30">INDEX(military_assets!D:D,mil_ass_all!$B30)</f>
        <v>0</v>
      </c>
      <c r="H30" cm="1">
        <f t="array" ref="H30">INDEX(military_assets!E:E,mil_ass_all!$B30)</f>
        <v>4</v>
      </c>
      <c r="I30" cm="1">
        <f t="array" ref="I30">INDEX(military_assets!F:F,mil_ass_all!$B30)</f>
        <v>4</v>
      </c>
      <c r="J30" cm="1">
        <f t="array" ref="J30">INDEX(military_assets!G:G,mil_ass_all!$B30)</f>
        <v>3</v>
      </c>
      <c r="K30" cm="1">
        <f t="array" ref="K30">INDEX(military_assets!H:H,mil_ass_all!$B30)</f>
        <v>2</v>
      </c>
      <c r="L30" t="str" cm="1">
        <f t="array" ref="L30">INDEX(military_assets!I:I,mil_ass_all!$B30)</f>
        <v>USN</v>
      </c>
      <c r="M30" t="str" cm="1">
        <f t="array" ref="M30">INDEX(military_assets!J:J,mil_ass_all!$B30)</f>
        <v>Squadron</v>
      </c>
      <c r="N30" t="str" cm="1">
        <f t="array" ref="N30">INDEX(military_assets!K:K,mil_ass_all!$B30)</f>
        <v>Hidden: Can be played face down. 
CATOBAR-Compatible.</v>
      </c>
      <c r="O30" t="str" cm="1">
        <f t="array" ref="O30">INDEX(military_assets!L:L,mil_ass_all!$B30)</f>
        <v>Images/f18.jpg</v>
      </c>
      <c r="P30" t="str" cm="1">
        <f t="array" ref="P30">INDEX(military_assets!M:M,mil_ass_all!$B30)</f>
        <v>The F/A-18 is one of the longest-tenured and most battle-proven multi-role carrier aircraft in the world.</v>
      </c>
      <c r="Q30" t="str" cm="1">
        <f t="array" ref="Q30">INDEX(military_assets!N:N,mil_ass_all!$B30)</f>
        <v>0.0.1</v>
      </c>
    </row>
    <row r="31" spans="1:17" x14ac:dyDescent="0.25">
      <c r="A31">
        <v>1</v>
      </c>
      <c r="B31">
        <v>13</v>
      </c>
      <c r="C31" s="2" t="s">
        <v>274</v>
      </c>
      <c r="D31" t="str" cm="1">
        <f t="array" ref="D31">INDEX(military_assets!A:A,mil_ass_all!$B31)</f>
        <v>F-35B Lightning II</v>
      </c>
      <c r="E31" cm="1">
        <f t="array" ref="E31">INDEX(military_assets!B:B,mil_ass_all!$B31)</f>
        <v>0</v>
      </c>
      <c r="F31" cm="1">
        <f t="array" ref="F31">INDEX(military_assets!C:C,mil_ass_all!$B31)</f>
        <v>0</v>
      </c>
      <c r="G31" cm="1">
        <f t="array" ref="G31">INDEX(military_assets!D:D,mil_ass_all!$B31)</f>
        <v>0</v>
      </c>
      <c r="H31" cm="1">
        <f t="array" ref="H31">INDEX(military_assets!E:E,mil_ass_all!$B31)</f>
        <v>4</v>
      </c>
      <c r="I31" cm="1">
        <f t="array" ref="I31">INDEX(military_assets!F:F,mil_ass_all!$B31)</f>
        <v>3</v>
      </c>
      <c r="J31" cm="1">
        <f t="array" ref="J31">INDEX(military_assets!G:G,mil_ass_all!$B31)</f>
        <v>2</v>
      </c>
      <c r="K31" cm="1">
        <f t="array" ref="K31">INDEX(military_assets!H:H,mil_ass_all!$B31)</f>
        <v>3</v>
      </c>
      <c r="L31" t="str" cm="1">
        <f t="array" ref="L31">INDEX(military_assets!I:I,mil_ass_all!$B31)</f>
        <v>USN</v>
      </c>
      <c r="M31" t="str" cm="1">
        <f t="array" ref="M31">INDEX(military_assets!J:J,mil_ass_all!$B31)</f>
        <v>Squadron</v>
      </c>
      <c r="N31" t="str" cm="1">
        <f t="array" ref="N31">INDEX(military_assets!K:K,mil_ass_all!$B31)</f>
        <v>Hidden: Can be played face down. 
Ambush: This asset deals damage during the Ambush Damage Step.
VTOL-Compatible.</v>
      </c>
      <c r="O31" t="str" cm="1">
        <f t="array" ref="O31">INDEX(military_assets!L:L,mil_ass_all!$B31)</f>
        <v>Images/f35b.jpg</v>
      </c>
      <c r="P31" t="str" cm="1">
        <f t="array" ref="P31">INDEX(military_assets!M:M,mil_ass_all!$B31)</f>
        <v>The F-35B is a special variant of the F-35 capable of taking off and landing vertically. This allows it to be stationed on smaller carriers that have typically not been able to field cutting-edge aircraft.</v>
      </c>
      <c r="Q31" t="str" cm="1">
        <f t="array" ref="Q31">INDEX(military_assets!N:N,mil_ass_all!$B31)</f>
        <v>0.0.1</v>
      </c>
    </row>
    <row r="32" spans="1:17" x14ac:dyDescent="0.25">
      <c r="A32">
        <v>1</v>
      </c>
      <c r="B32">
        <v>13</v>
      </c>
      <c r="C32" s="2" t="s">
        <v>275</v>
      </c>
      <c r="D32" t="str" cm="1">
        <f t="array" ref="D32">INDEX(military_assets!A:A,mil_ass_all!$B32)</f>
        <v>F-35B Lightning II</v>
      </c>
      <c r="E32" cm="1">
        <f t="array" ref="E32">INDEX(military_assets!B:B,mil_ass_all!$B32)</f>
        <v>0</v>
      </c>
      <c r="F32" cm="1">
        <f t="array" ref="F32">INDEX(military_assets!C:C,mil_ass_all!$B32)</f>
        <v>0</v>
      </c>
      <c r="G32" cm="1">
        <f t="array" ref="G32">INDEX(military_assets!D:D,mil_ass_all!$B32)</f>
        <v>0</v>
      </c>
      <c r="H32" cm="1">
        <f t="array" ref="H32">INDEX(military_assets!E:E,mil_ass_all!$B32)</f>
        <v>4</v>
      </c>
      <c r="I32" cm="1">
        <f t="array" ref="I32">INDEX(military_assets!F:F,mil_ass_all!$B32)</f>
        <v>3</v>
      </c>
      <c r="J32" cm="1">
        <f t="array" ref="J32">INDEX(military_assets!G:G,mil_ass_all!$B32)</f>
        <v>2</v>
      </c>
      <c r="K32" cm="1">
        <f t="array" ref="K32">INDEX(military_assets!H:H,mil_ass_all!$B32)</f>
        <v>3</v>
      </c>
      <c r="L32" t="str" cm="1">
        <f t="array" ref="L32">INDEX(military_assets!I:I,mil_ass_all!$B32)</f>
        <v>USN</v>
      </c>
      <c r="M32" t="str" cm="1">
        <f t="array" ref="M32">INDEX(military_assets!J:J,mil_ass_all!$B32)</f>
        <v>Squadron</v>
      </c>
      <c r="N32" t="str" cm="1">
        <f t="array" ref="N32">INDEX(military_assets!K:K,mil_ass_all!$B32)</f>
        <v>Hidden: Can be played face down. 
Ambush: This asset deals damage during the Ambush Damage Step.
VTOL-Compatible.</v>
      </c>
      <c r="O32" t="str" cm="1">
        <f t="array" ref="O32">INDEX(military_assets!L:L,mil_ass_all!$B32)</f>
        <v>Images/f35b.jpg</v>
      </c>
      <c r="P32" t="str" cm="1">
        <f t="array" ref="P32">INDEX(military_assets!M:M,mil_ass_all!$B32)</f>
        <v>The F-35B is a special variant of the F-35 capable of taking off and landing vertically. This allows it to be stationed on smaller carriers that have typically not been able to field cutting-edge aircraft.</v>
      </c>
      <c r="Q32" t="str" cm="1">
        <f t="array" ref="Q32">INDEX(military_assets!N:N,mil_ass_all!$B32)</f>
        <v>0.0.1</v>
      </c>
    </row>
    <row r="33" spans="1:17" x14ac:dyDescent="0.25">
      <c r="A33">
        <v>1</v>
      </c>
      <c r="B33">
        <v>13</v>
      </c>
      <c r="C33" s="2" t="s">
        <v>276</v>
      </c>
      <c r="D33" t="str" cm="1">
        <f t="array" ref="D33">INDEX(military_assets!A:A,mil_ass_all!$B33)</f>
        <v>F-35B Lightning II</v>
      </c>
      <c r="E33" cm="1">
        <f t="array" ref="E33">INDEX(military_assets!B:B,mil_ass_all!$B33)</f>
        <v>0</v>
      </c>
      <c r="F33" cm="1">
        <f t="array" ref="F33">INDEX(military_assets!C:C,mil_ass_all!$B33)</f>
        <v>0</v>
      </c>
      <c r="G33" cm="1">
        <f t="array" ref="G33">INDEX(military_assets!D:D,mil_ass_all!$B33)</f>
        <v>0</v>
      </c>
      <c r="H33" cm="1">
        <f t="array" ref="H33">INDEX(military_assets!E:E,mil_ass_all!$B33)</f>
        <v>4</v>
      </c>
      <c r="I33" cm="1">
        <f t="array" ref="I33">INDEX(military_assets!F:F,mil_ass_all!$B33)</f>
        <v>3</v>
      </c>
      <c r="J33" cm="1">
        <f t="array" ref="J33">INDEX(military_assets!G:G,mil_ass_all!$B33)</f>
        <v>2</v>
      </c>
      <c r="K33" cm="1">
        <f t="array" ref="K33">INDEX(military_assets!H:H,mil_ass_all!$B33)</f>
        <v>3</v>
      </c>
      <c r="L33" t="str" cm="1">
        <f t="array" ref="L33">INDEX(military_assets!I:I,mil_ass_all!$B33)</f>
        <v>USN</v>
      </c>
      <c r="M33" t="str" cm="1">
        <f t="array" ref="M33">INDEX(military_assets!J:J,mil_ass_all!$B33)</f>
        <v>Squadron</v>
      </c>
      <c r="N33" t="str" cm="1">
        <f t="array" ref="N33">INDEX(military_assets!K:K,mil_ass_all!$B33)</f>
        <v>Hidden: Can be played face down. 
Ambush: This asset deals damage during the Ambush Damage Step.
VTOL-Compatible.</v>
      </c>
      <c r="O33" t="str" cm="1">
        <f t="array" ref="O33">INDEX(military_assets!L:L,mil_ass_all!$B33)</f>
        <v>Images/f35b.jpg</v>
      </c>
      <c r="P33" t="str" cm="1">
        <f t="array" ref="P33">INDEX(military_assets!M:M,mil_ass_all!$B33)</f>
        <v>The F-35B is a special variant of the F-35 capable of taking off and landing vertically. This allows it to be stationed on smaller carriers that have typically not been able to field cutting-edge aircraft.</v>
      </c>
      <c r="Q33" t="str" cm="1">
        <f t="array" ref="Q33">INDEX(military_assets!N:N,mil_ass_all!$B33)</f>
        <v>0.0.1</v>
      </c>
    </row>
    <row r="34" spans="1:17" x14ac:dyDescent="0.25">
      <c r="A34">
        <v>1</v>
      </c>
      <c r="B34">
        <v>14</v>
      </c>
      <c r="C34" s="2" t="s">
        <v>277</v>
      </c>
      <c r="D34" t="str" cm="1">
        <f t="array" ref="D34">INDEX(military_assets!A:A,mil_ass_all!$B34)</f>
        <v>F-35C  Lightning II</v>
      </c>
      <c r="E34" cm="1">
        <f t="array" ref="E34">INDEX(military_assets!B:B,mil_ass_all!$B34)</f>
        <v>0</v>
      </c>
      <c r="F34" cm="1">
        <f t="array" ref="F34">INDEX(military_assets!C:C,mil_ass_all!$B34)</f>
        <v>0</v>
      </c>
      <c r="G34" cm="1">
        <f t="array" ref="G34">INDEX(military_assets!D:D,mil_ass_all!$B34)</f>
        <v>0</v>
      </c>
      <c r="H34" cm="1">
        <f t="array" ref="H34">INDEX(military_assets!E:E,mil_ass_all!$B34)</f>
        <v>4</v>
      </c>
      <c r="I34" cm="1">
        <f t="array" ref="I34">INDEX(military_assets!F:F,mil_ass_all!$B34)</f>
        <v>4</v>
      </c>
      <c r="J34" cm="1">
        <f t="array" ref="J34">INDEX(military_assets!G:G,mil_ass_all!$B34)</f>
        <v>2</v>
      </c>
      <c r="K34" cm="1">
        <f t="array" ref="K34">INDEX(military_assets!H:H,mil_ass_all!$B34)</f>
        <v>2</v>
      </c>
      <c r="L34" t="str" cm="1">
        <f t="array" ref="L34">INDEX(military_assets!I:I,mil_ass_all!$B34)</f>
        <v>USN</v>
      </c>
      <c r="M34" t="str" cm="1">
        <f t="array" ref="M34">INDEX(military_assets!J:J,mil_ass_all!$B34)</f>
        <v>Squadron</v>
      </c>
      <c r="N34" t="str" cm="1">
        <f t="array" ref="N34">INDEX(military_assets!K:K,mil_ass_all!$B34)</f>
        <v>Hidden: Can be played face down. 
Ambush: This asset deals damage during the Ambush Damage Step.
CATOBAR-Compatible.</v>
      </c>
      <c r="O34" t="str" cm="1">
        <f t="array" ref="O34">INDEX(military_assets!L:L,mil_ass_all!$B34)</f>
        <v>Images/f35c.jpg</v>
      </c>
      <c r="P34" t="str" cm="1">
        <f t="array" ref="P34">INDEX(military_assets!M:M,mil_ass_all!$B34)</f>
        <v>The F-35 acquisition program cost of just under $450 billion USD would be enough to buy 450 billion $1 cheeseburgers - enough to kill all humans on earth.</v>
      </c>
      <c r="Q34" t="str" cm="1">
        <f t="array" ref="Q34">INDEX(military_assets!N:N,mil_ass_all!$B34)</f>
        <v>0.0.1</v>
      </c>
    </row>
    <row r="35" spans="1:17" x14ac:dyDescent="0.25">
      <c r="A35">
        <v>1</v>
      </c>
      <c r="B35">
        <v>14</v>
      </c>
      <c r="C35" s="2" t="s">
        <v>278</v>
      </c>
      <c r="D35" t="str" cm="1">
        <f t="array" ref="D35">INDEX(military_assets!A:A,mil_ass_all!$B35)</f>
        <v>F-35C  Lightning II</v>
      </c>
      <c r="E35" cm="1">
        <f t="array" ref="E35">INDEX(military_assets!B:B,mil_ass_all!$B35)</f>
        <v>0</v>
      </c>
      <c r="F35" cm="1">
        <f t="array" ref="F35">INDEX(military_assets!C:C,mil_ass_all!$B35)</f>
        <v>0</v>
      </c>
      <c r="G35" cm="1">
        <f t="array" ref="G35">INDEX(military_assets!D:D,mil_ass_all!$B35)</f>
        <v>0</v>
      </c>
      <c r="H35" cm="1">
        <f t="array" ref="H35">INDEX(military_assets!E:E,mil_ass_all!$B35)</f>
        <v>4</v>
      </c>
      <c r="I35" cm="1">
        <f t="array" ref="I35">INDEX(military_assets!F:F,mil_ass_all!$B35)</f>
        <v>4</v>
      </c>
      <c r="J35" cm="1">
        <f t="array" ref="J35">INDEX(military_assets!G:G,mil_ass_all!$B35)</f>
        <v>2</v>
      </c>
      <c r="K35" cm="1">
        <f t="array" ref="K35">INDEX(military_assets!H:H,mil_ass_all!$B35)</f>
        <v>2</v>
      </c>
      <c r="L35" t="str" cm="1">
        <f t="array" ref="L35">INDEX(military_assets!I:I,mil_ass_all!$B35)</f>
        <v>USN</v>
      </c>
      <c r="M35" t="str" cm="1">
        <f t="array" ref="M35">INDEX(military_assets!J:J,mil_ass_all!$B35)</f>
        <v>Squadron</v>
      </c>
      <c r="N35" t="str" cm="1">
        <f t="array" ref="N35">INDEX(military_assets!K:K,mil_ass_all!$B35)</f>
        <v>Hidden: Can be played face down. 
Ambush: This asset deals damage during the Ambush Damage Step.
CATOBAR-Compatible.</v>
      </c>
      <c r="O35" t="str" cm="1">
        <f t="array" ref="O35">INDEX(military_assets!L:L,mil_ass_all!$B35)</f>
        <v>Images/f35c.jpg</v>
      </c>
      <c r="P35" t="str" cm="1">
        <f t="array" ref="P35">INDEX(military_assets!M:M,mil_ass_all!$B35)</f>
        <v>The F-35 acquisition program cost of just under $450 billion USD would be enough to buy 450 billion $1 cheeseburgers - enough to kill all humans on earth.</v>
      </c>
      <c r="Q35" t="str" cm="1">
        <f t="array" ref="Q35">INDEX(military_assets!N:N,mil_ass_all!$B35)</f>
        <v>0.0.1</v>
      </c>
    </row>
    <row r="36" spans="1:17" x14ac:dyDescent="0.25">
      <c r="A36">
        <v>1</v>
      </c>
      <c r="B36">
        <v>14</v>
      </c>
      <c r="C36" s="2" t="s">
        <v>279</v>
      </c>
      <c r="D36" t="str" cm="1">
        <f t="array" ref="D36">INDEX(military_assets!A:A,mil_ass_all!$B36)</f>
        <v>F-35C  Lightning II</v>
      </c>
      <c r="E36" cm="1">
        <f t="array" ref="E36">INDEX(military_assets!B:B,mil_ass_all!$B36)</f>
        <v>0</v>
      </c>
      <c r="F36" cm="1">
        <f t="array" ref="F36">INDEX(military_assets!C:C,mil_ass_all!$B36)</f>
        <v>0</v>
      </c>
      <c r="G36" cm="1">
        <f t="array" ref="G36">INDEX(military_assets!D:D,mil_ass_all!$B36)</f>
        <v>0</v>
      </c>
      <c r="H36" cm="1">
        <f t="array" ref="H36">INDEX(military_assets!E:E,mil_ass_all!$B36)</f>
        <v>4</v>
      </c>
      <c r="I36" cm="1">
        <f t="array" ref="I36">INDEX(military_assets!F:F,mil_ass_all!$B36)</f>
        <v>4</v>
      </c>
      <c r="J36" cm="1">
        <f t="array" ref="J36">INDEX(military_assets!G:G,mil_ass_all!$B36)</f>
        <v>2</v>
      </c>
      <c r="K36" cm="1">
        <f t="array" ref="K36">INDEX(military_assets!H:H,mil_ass_all!$B36)</f>
        <v>2</v>
      </c>
      <c r="L36" t="str" cm="1">
        <f t="array" ref="L36">INDEX(military_assets!I:I,mil_ass_all!$B36)</f>
        <v>USN</v>
      </c>
      <c r="M36" t="str" cm="1">
        <f t="array" ref="M36">INDEX(military_assets!J:J,mil_ass_all!$B36)</f>
        <v>Squadron</v>
      </c>
      <c r="N36" t="str" cm="1">
        <f t="array" ref="N36">INDEX(military_assets!K:K,mil_ass_all!$B36)</f>
        <v>Hidden: Can be played face down. 
Ambush: This asset deals damage during the Ambush Damage Step.
CATOBAR-Compatible.</v>
      </c>
      <c r="O36" t="str" cm="1">
        <f t="array" ref="O36">INDEX(military_assets!L:L,mil_ass_all!$B36)</f>
        <v>Images/f35c.jpg</v>
      </c>
      <c r="P36" t="str" cm="1">
        <f t="array" ref="P36">INDEX(military_assets!M:M,mil_ass_all!$B36)</f>
        <v>The F-35 acquisition program cost of just under $450 billion USD would be enough to buy 450 billion $1 cheeseburgers - enough to kill all humans on earth.</v>
      </c>
      <c r="Q36" t="str" cm="1">
        <f t="array" ref="Q36">INDEX(military_assets!N:N,mil_ass_all!$B36)</f>
        <v>0.0.1</v>
      </c>
    </row>
    <row r="37" spans="1:17" x14ac:dyDescent="0.25">
      <c r="A37">
        <v>1</v>
      </c>
      <c r="B37">
        <v>15</v>
      </c>
      <c r="C37" s="2" t="s">
        <v>280</v>
      </c>
      <c r="D37" t="str" cm="1">
        <f t="array" ref="D37">INDEX(military_assets!A:A,mil_ass_all!$B37)</f>
        <v>AV-8B Harrier II</v>
      </c>
      <c r="E37" cm="1">
        <f t="array" ref="E37">INDEX(military_assets!B:B,mil_ass_all!$B37)</f>
        <v>0</v>
      </c>
      <c r="F37" cm="1">
        <f t="array" ref="F37">INDEX(military_assets!C:C,mil_ass_all!$B37)</f>
        <v>0</v>
      </c>
      <c r="G37" cm="1">
        <f t="array" ref="G37">INDEX(military_assets!D:D,mil_ass_all!$B37)</f>
        <v>0</v>
      </c>
      <c r="H37" cm="1">
        <f t="array" ref="H37">INDEX(military_assets!E:E,mil_ass_all!$B37)</f>
        <v>3</v>
      </c>
      <c r="I37" cm="1">
        <f t="array" ref="I37">INDEX(military_assets!F:F,mil_ass_all!$B37)</f>
        <v>3</v>
      </c>
      <c r="J37" cm="1">
        <f t="array" ref="J37">INDEX(military_assets!G:G,mil_ass_all!$B37)</f>
        <v>2</v>
      </c>
      <c r="K37" cm="1">
        <f t="array" ref="K37">INDEX(military_assets!H:H,mil_ass_all!$B37)</f>
        <v>1</v>
      </c>
      <c r="L37" t="str" cm="1">
        <f t="array" ref="L37">INDEX(military_assets!I:I,mil_ass_all!$B37)</f>
        <v>USN</v>
      </c>
      <c r="M37" t="str" cm="1">
        <f t="array" ref="M37">INDEX(military_assets!J:J,mil_ass_all!$B37)</f>
        <v>Squadron</v>
      </c>
      <c r="N37" t="str" cm="1">
        <f t="array" ref="N37">INDEX(military_assets!K:K,mil_ass_all!$B37)</f>
        <v>Hidden: Can be played face down. 
VTOL-Compatible.</v>
      </c>
      <c r="O37" t="str" cm="1">
        <f t="array" ref="O37">INDEX(military_assets!L:L,mil_ass_all!$B37)</f>
        <v>Images/harrier.jpg</v>
      </c>
      <c r="P37" t="str" cm="1">
        <f t="array" ref="P37">INDEX(military_assets!M:M,mil_ass_all!$B37)</f>
        <v>A Pepsi ad campaign promised to award a Harrier to anyone who collected enough Pepsi points- a promise Pepsi did not keep. During its service history, the Harrier has proven it is more reliable than Pepsi Co.</v>
      </c>
      <c r="Q37" t="str" cm="1">
        <f t="array" ref="Q37">INDEX(military_assets!N:N,mil_ass_all!$B37)</f>
        <v>0.0.1</v>
      </c>
    </row>
    <row r="38" spans="1:17" x14ac:dyDescent="0.25">
      <c r="A38">
        <v>1</v>
      </c>
      <c r="B38">
        <v>15</v>
      </c>
      <c r="C38" s="2" t="s">
        <v>281</v>
      </c>
      <c r="D38" t="str" cm="1">
        <f t="array" ref="D38">INDEX(military_assets!A:A,mil_ass_all!$B38)</f>
        <v>AV-8B Harrier II</v>
      </c>
      <c r="E38" cm="1">
        <f t="array" ref="E38">INDEX(military_assets!B:B,mil_ass_all!$B38)</f>
        <v>0</v>
      </c>
      <c r="F38" cm="1">
        <f t="array" ref="F38">INDEX(military_assets!C:C,mil_ass_all!$B38)</f>
        <v>0</v>
      </c>
      <c r="G38" cm="1">
        <f t="array" ref="G38">INDEX(military_assets!D:D,mil_ass_all!$B38)</f>
        <v>0</v>
      </c>
      <c r="H38" cm="1">
        <f t="array" ref="H38">INDEX(military_assets!E:E,mil_ass_all!$B38)</f>
        <v>3</v>
      </c>
      <c r="I38" cm="1">
        <f t="array" ref="I38">INDEX(military_assets!F:F,mil_ass_all!$B38)</f>
        <v>3</v>
      </c>
      <c r="J38" cm="1">
        <f t="array" ref="J38">INDEX(military_assets!G:G,mil_ass_all!$B38)</f>
        <v>2</v>
      </c>
      <c r="K38" cm="1">
        <f t="array" ref="K38">INDEX(military_assets!H:H,mil_ass_all!$B38)</f>
        <v>1</v>
      </c>
      <c r="L38" t="str" cm="1">
        <f t="array" ref="L38">INDEX(military_assets!I:I,mil_ass_all!$B38)</f>
        <v>USN</v>
      </c>
      <c r="M38" t="str" cm="1">
        <f t="array" ref="M38">INDEX(military_assets!J:J,mil_ass_all!$B38)</f>
        <v>Squadron</v>
      </c>
      <c r="N38" t="str" cm="1">
        <f t="array" ref="N38">INDEX(military_assets!K:K,mil_ass_all!$B38)</f>
        <v>Hidden: Can be played face down. 
VTOL-Compatible.</v>
      </c>
      <c r="O38" t="str" cm="1">
        <f t="array" ref="O38">INDEX(military_assets!L:L,mil_ass_all!$B38)</f>
        <v>Images/harrier.jpg</v>
      </c>
      <c r="P38" t="str" cm="1">
        <f t="array" ref="P38">INDEX(military_assets!M:M,mil_ass_all!$B38)</f>
        <v>A Pepsi ad campaign promised to award a Harrier to anyone who collected enough Pepsi points- a promise Pepsi did not keep. During its service history, the Harrier has proven it is more reliable than Pepsi Co.</v>
      </c>
      <c r="Q38" t="str" cm="1">
        <f t="array" ref="Q38">INDEX(military_assets!N:N,mil_ass_all!$B38)</f>
        <v>0.0.1</v>
      </c>
    </row>
    <row r="39" spans="1:17" x14ac:dyDescent="0.25">
      <c r="A39">
        <v>1</v>
      </c>
      <c r="B39">
        <v>15</v>
      </c>
      <c r="C39" s="2" t="s">
        <v>282</v>
      </c>
      <c r="D39" t="str" cm="1">
        <f t="array" ref="D39">INDEX(military_assets!A:A,mil_ass_all!$B39)</f>
        <v>AV-8B Harrier II</v>
      </c>
      <c r="E39" cm="1">
        <f t="array" ref="E39">INDEX(military_assets!B:B,mil_ass_all!$B39)</f>
        <v>0</v>
      </c>
      <c r="F39" cm="1">
        <f t="array" ref="F39">INDEX(military_assets!C:C,mil_ass_all!$B39)</f>
        <v>0</v>
      </c>
      <c r="G39" cm="1">
        <f t="array" ref="G39">INDEX(military_assets!D:D,mil_ass_all!$B39)</f>
        <v>0</v>
      </c>
      <c r="H39" cm="1">
        <f t="array" ref="H39">INDEX(military_assets!E:E,mil_ass_all!$B39)</f>
        <v>3</v>
      </c>
      <c r="I39" cm="1">
        <f t="array" ref="I39">INDEX(military_assets!F:F,mil_ass_all!$B39)</f>
        <v>3</v>
      </c>
      <c r="J39" cm="1">
        <f t="array" ref="J39">INDEX(military_assets!G:G,mil_ass_all!$B39)</f>
        <v>2</v>
      </c>
      <c r="K39" cm="1">
        <f t="array" ref="K39">INDEX(military_assets!H:H,mil_ass_all!$B39)</f>
        <v>1</v>
      </c>
      <c r="L39" t="str" cm="1">
        <f t="array" ref="L39">INDEX(military_assets!I:I,mil_ass_all!$B39)</f>
        <v>USN</v>
      </c>
      <c r="M39" t="str" cm="1">
        <f t="array" ref="M39">INDEX(military_assets!J:J,mil_ass_all!$B39)</f>
        <v>Squadron</v>
      </c>
      <c r="N39" t="str" cm="1">
        <f t="array" ref="N39">INDEX(military_assets!K:K,mil_ass_all!$B39)</f>
        <v>Hidden: Can be played face down. 
VTOL-Compatible.</v>
      </c>
      <c r="O39" t="str" cm="1">
        <f t="array" ref="O39">INDEX(military_assets!L:L,mil_ass_all!$B39)</f>
        <v>Images/harrier.jpg</v>
      </c>
      <c r="P39" t="str" cm="1">
        <f t="array" ref="P39">INDEX(military_assets!M:M,mil_ass_all!$B39)</f>
        <v>A Pepsi ad campaign promised to award a Harrier to anyone who collected enough Pepsi points- a promise Pepsi did not keep. During its service history, the Harrier has proven it is more reliable than Pepsi Co.</v>
      </c>
      <c r="Q39" t="str" cm="1">
        <f t="array" ref="Q39">INDEX(military_assets!N:N,mil_ass_all!$B39)</f>
        <v>0.0.1</v>
      </c>
    </row>
    <row r="40" spans="1:17" x14ac:dyDescent="0.25">
      <c r="A40">
        <v>1</v>
      </c>
      <c r="B40">
        <v>15</v>
      </c>
      <c r="C40" s="2" t="s">
        <v>283</v>
      </c>
      <c r="D40" t="str" cm="1">
        <f t="array" ref="D40">INDEX(military_assets!A:A,mil_ass_all!$B40)</f>
        <v>AV-8B Harrier II</v>
      </c>
      <c r="E40" cm="1">
        <f t="array" ref="E40">INDEX(military_assets!B:B,mil_ass_all!$B40)</f>
        <v>0</v>
      </c>
      <c r="F40" cm="1">
        <f t="array" ref="F40">INDEX(military_assets!C:C,mil_ass_all!$B40)</f>
        <v>0</v>
      </c>
      <c r="G40" cm="1">
        <f t="array" ref="G40">INDEX(military_assets!D:D,mil_ass_all!$B40)</f>
        <v>0</v>
      </c>
      <c r="H40" cm="1">
        <f t="array" ref="H40">INDEX(military_assets!E:E,mil_ass_all!$B40)</f>
        <v>3</v>
      </c>
      <c r="I40" cm="1">
        <f t="array" ref="I40">INDEX(military_assets!F:F,mil_ass_all!$B40)</f>
        <v>3</v>
      </c>
      <c r="J40" cm="1">
        <f t="array" ref="J40">INDEX(military_assets!G:G,mil_ass_all!$B40)</f>
        <v>2</v>
      </c>
      <c r="K40" cm="1">
        <f t="array" ref="K40">INDEX(military_assets!H:H,mil_ass_all!$B40)</f>
        <v>1</v>
      </c>
      <c r="L40" t="str" cm="1">
        <f t="array" ref="L40">INDEX(military_assets!I:I,mil_ass_all!$B40)</f>
        <v>USN</v>
      </c>
      <c r="M40" t="str" cm="1">
        <f t="array" ref="M40">INDEX(military_assets!J:J,mil_ass_all!$B40)</f>
        <v>Squadron</v>
      </c>
      <c r="N40" t="str" cm="1">
        <f t="array" ref="N40">INDEX(military_assets!K:K,mil_ass_all!$B40)</f>
        <v>Hidden: Can be played face down. 
VTOL-Compatible.</v>
      </c>
      <c r="O40" t="str" cm="1">
        <f t="array" ref="O40">INDEX(military_assets!L:L,mil_ass_all!$B40)</f>
        <v>Images/harrier.jpg</v>
      </c>
      <c r="P40" t="str" cm="1">
        <f t="array" ref="P40">INDEX(military_assets!M:M,mil_ass_all!$B40)</f>
        <v>A Pepsi ad campaign promised to award a Harrier to anyone who collected enough Pepsi points- a promise Pepsi did not keep. During its service history, the Harrier has proven it is more reliable than Pepsi Co.</v>
      </c>
      <c r="Q40" t="str" cm="1">
        <f t="array" ref="Q40">INDEX(military_assets!N:N,mil_ass_all!$B40)</f>
        <v>0.0.1</v>
      </c>
    </row>
    <row r="41" spans="1:17" x14ac:dyDescent="0.25">
      <c r="A41">
        <v>1</v>
      </c>
      <c r="B41">
        <v>15</v>
      </c>
      <c r="C41" s="2" t="s">
        <v>284</v>
      </c>
      <c r="D41" t="str" cm="1">
        <f t="array" ref="D41">INDEX(military_assets!A:A,mil_ass_all!$B41)</f>
        <v>AV-8B Harrier II</v>
      </c>
      <c r="E41" cm="1">
        <f t="array" ref="E41">INDEX(military_assets!B:B,mil_ass_all!$B41)</f>
        <v>0</v>
      </c>
      <c r="F41" cm="1">
        <f t="array" ref="F41">INDEX(military_assets!C:C,mil_ass_all!$B41)</f>
        <v>0</v>
      </c>
      <c r="G41" cm="1">
        <f t="array" ref="G41">INDEX(military_assets!D:D,mil_ass_all!$B41)</f>
        <v>0</v>
      </c>
      <c r="H41" cm="1">
        <f t="array" ref="H41">INDEX(military_assets!E:E,mil_ass_all!$B41)</f>
        <v>3</v>
      </c>
      <c r="I41" cm="1">
        <f t="array" ref="I41">INDEX(military_assets!F:F,mil_ass_all!$B41)</f>
        <v>3</v>
      </c>
      <c r="J41" cm="1">
        <f t="array" ref="J41">INDEX(military_assets!G:G,mil_ass_all!$B41)</f>
        <v>2</v>
      </c>
      <c r="K41" cm="1">
        <f t="array" ref="K41">INDEX(military_assets!H:H,mil_ass_all!$B41)</f>
        <v>1</v>
      </c>
      <c r="L41" t="str" cm="1">
        <f t="array" ref="L41">INDEX(military_assets!I:I,mil_ass_all!$B41)</f>
        <v>USN</v>
      </c>
      <c r="M41" t="str" cm="1">
        <f t="array" ref="M41">INDEX(military_assets!J:J,mil_ass_all!$B41)</f>
        <v>Squadron</v>
      </c>
      <c r="N41" t="str" cm="1">
        <f t="array" ref="N41">INDEX(military_assets!K:K,mil_ass_all!$B41)</f>
        <v>Hidden: Can be played face down. 
VTOL-Compatible.</v>
      </c>
      <c r="O41" t="str" cm="1">
        <f t="array" ref="O41">INDEX(military_assets!L:L,mil_ass_all!$B41)</f>
        <v>Images/harrier.jpg</v>
      </c>
      <c r="P41" t="str" cm="1">
        <f t="array" ref="P41">INDEX(military_assets!M:M,mil_ass_all!$B41)</f>
        <v>A Pepsi ad campaign promised to award a Harrier to anyone who collected enough Pepsi points- a promise Pepsi did not keep. During its service history, the Harrier has proven it is more reliable than Pepsi Co.</v>
      </c>
      <c r="Q41" t="str" cm="1">
        <f t="array" ref="Q41">INDEX(military_assets!N:N,mil_ass_all!$B41)</f>
        <v>0.0.1</v>
      </c>
    </row>
    <row r="42" spans="1:17" x14ac:dyDescent="0.25">
      <c r="A42">
        <v>1</v>
      </c>
      <c r="B42">
        <v>16</v>
      </c>
      <c r="C42" s="3" t="s">
        <v>134</v>
      </c>
      <c r="D42" t="str" cm="1">
        <f t="array" ref="D42">INDEX(military_assets!A:A,mil_ass_all!$B42)</f>
        <v>Kuznetsov Class CV</v>
      </c>
      <c r="E42" cm="1">
        <f t="array" ref="E42">INDEX(military_assets!B:B,mil_ass_all!$B42)</f>
        <v>0</v>
      </c>
      <c r="F42" cm="1">
        <f t="array" ref="F42">INDEX(military_assets!C:C,mil_ass_all!$B42)</f>
        <v>0</v>
      </c>
      <c r="G42" cm="1">
        <f t="array" ref="G42">INDEX(military_assets!D:D,mil_ass_all!$B42)</f>
        <v>0</v>
      </c>
      <c r="H42" cm="1">
        <f t="array" ref="H42">INDEX(military_assets!E:E,mil_ass_all!$B42)</f>
        <v>4</v>
      </c>
      <c r="I42" cm="1">
        <f t="array" ref="I42">INDEX(military_assets!F:F,mil_ass_all!$B42)</f>
        <v>2</v>
      </c>
      <c r="J42" cm="1">
        <f t="array" ref="J42">INDEX(military_assets!G:G,mil_ass_all!$B42)</f>
        <v>2</v>
      </c>
      <c r="K42" cm="1">
        <f t="array" ref="K42">INDEX(military_assets!H:H,mil_ass_all!$B42)</f>
        <v>6</v>
      </c>
      <c r="L42" t="str" cm="1">
        <f t="array" ref="L42">INDEX(military_assets!I:I,mil_ass_all!$B42)</f>
        <v>RUS</v>
      </c>
      <c r="M42" t="str" cm="1">
        <f t="array" ref="M42">INDEX(military_assets!J:J,mil_ass_all!$B42)</f>
        <v>Ship</v>
      </c>
      <c r="N42" t="str" cm="1">
        <f t="array" ref="N42">INDEX(military_assets!K:K,mil_ass_all!$B42)</f>
        <v>STOBAR: Compatible with STOBAR and VTOL squadrons.
Carrier 1: Can station 1 aircraft squadron.
CAP: +2 Help Defense</v>
      </c>
      <c r="O42" t="str" cm="1">
        <f t="array" ref="O42">INDEX(military_assets!L:L,mil_ass_all!$B42)</f>
        <v>Images/kuznetsov.jpg</v>
      </c>
      <c r="P42" t="str" cm="1">
        <f t="array" ref="P42">INDEX(military_assets!M:M,mil_ass_all!$B42)</f>
        <v>Although sold to a company in Macau supposedly for use as a floating casino, Kuznetsov's sister ship has since unsurprisingly become the first aircraft carrier of the Chinese People's Liberation Army Navy.</v>
      </c>
      <c r="Q42" t="str" cm="1">
        <f t="array" ref="Q42">INDEX(military_assets!N:N,mil_ass_all!$B42)</f>
        <v>0.0.1</v>
      </c>
    </row>
    <row r="43" spans="1:17" x14ac:dyDescent="0.25">
      <c r="A43">
        <v>1</v>
      </c>
      <c r="B43">
        <v>17</v>
      </c>
      <c r="C43" s="3" t="s">
        <v>135</v>
      </c>
      <c r="D43" t="str" cm="1">
        <f t="array" ref="D43">INDEX(military_assets!A:A,mil_ass_all!$B43)</f>
        <v>Kirov Class CGN</v>
      </c>
      <c r="E43" cm="1">
        <f t="array" ref="E43">INDEX(military_assets!B:B,mil_ass_all!$B43)</f>
        <v>0</v>
      </c>
      <c r="F43" cm="1">
        <f t="array" ref="F43">INDEX(military_assets!C:C,mil_ass_all!$B43)</f>
        <v>0</v>
      </c>
      <c r="G43" cm="1">
        <f t="array" ref="G43">INDEX(military_assets!D:D,mil_ass_all!$B43)</f>
        <v>0</v>
      </c>
      <c r="H43" cm="1">
        <f t="array" ref="H43">INDEX(military_assets!E:E,mil_ass_all!$B43)</f>
        <v>6</v>
      </c>
      <c r="I43" cm="1">
        <f t="array" ref="I43">INDEX(military_assets!F:F,mil_ass_all!$B43)</f>
        <v>2</v>
      </c>
      <c r="J43" cm="1">
        <f t="array" ref="J43">INDEX(military_assets!G:G,mil_ass_all!$B43)</f>
        <v>4</v>
      </c>
      <c r="K43" cm="1">
        <f t="array" ref="K43">INDEX(military_assets!H:H,mil_ass_all!$B43)</f>
        <v>6</v>
      </c>
      <c r="L43" t="str" cm="1">
        <f t="array" ref="L43">INDEX(military_assets!I:I,mil_ass_all!$B43)</f>
        <v>RUS</v>
      </c>
      <c r="M43" t="str" cm="1">
        <f t="array" ref="M43">INDEX(military_assets!J:J,mil_ass_all!$B43)</f>
        <v>Ship</v>
      </c>
      <c r="N43" t="str" cm="1">
        <f t="array" ref="N43">INDEX(military_assets!K:K,mil_ass_all!$B43)</f>
        <v>S-300: +1 Help Defense.</v>
      </c>
      <c r="O43" t="str" cm="1">
        <f t="array" ref="O43">INDEX(military_assets!L:L,mil_ass_all!$B43)</f>
        <v>Images/kirov.jpg</v>
      </c>
      <c r="P43" t="str" cm="1">
        <f t="array" ref="P43">INDEX(military_assets!M:M,mil_ass_all!$B43)</f>
        <v>Since the decommisioning of the last retrofitted WWII-era battleship in 1991, the Kirov has been the largest surface combatant in the world.</v>
      </c>
      <c r="Q43" t="str" cm="1">
        <f t="array" ref="Q43">INDEX(military_assets!N:N,mil_ass_all!$B43)</f>
        <v>0.0.1</v>
      </c>
    </row>
    <row r="44" spans="1:17" x14ac:dyDescent="0.25">
      <c r="A44">
        <v>1</v>
      </c>
      <c r="B44">
        <v>17</v>
      </c>
      <c r="C44" s="3" t="s">
        <v>136</v>
      </c>
      <c r="D44" t="str" cm="1">
        <f t="array" ref="D44">INDEX(military_assets!A:A,mil_ass_all!$B44)</f>
        <v>Kirov Class CGN</v>
      </c>
      <c r="E44" cm="1">
        <f t="array" ref="E44">INDEX(military_assets!B:B,mil_ass_all!$B44)</f>
        <v>0</v>
      </c>
      <c r="F44" cm="1">
        <f t="array" ref="F44">INDEX(military_assets!C:C,mil_ass_all!$B44)</f>
        <v>0</v>
      </c>
      <c r="G44" cm="1">
        <f t="array" ref="G44">INDEX(military_assets!D:D,mil_ass_all!$B44)</f>
        <v>0</v>
      </c>
      <c r="H44" cm="1">
        <f t="array" ref="H44">INDEX(military_assets!E:E,mil_ass_all!$B44)</f>
        <v>6</v>
      </c>
      <c r="I44" cm="1">
        <f t="array" ref="I44">INDEX(military_assets!F:F,mil_ass_all!$B44)</f>
        <v>2</v>
      </c>
      <c r="J44" cm="1">
        <f t="array" ref="J44">INDEX(military_assets!G:G,mil_ass_all!$B44)</f>
        <v>4</v>
      </c>
      <c r="K44" cm="1">
        <f t="array" ref="K44">INDEX(military_assets!H:H,mil_ass_all!$B44)</f>
        <v>6</v>
      </c>
      <c r="L44" t="str" cm="1">
        <f t="array" ref="L44">INDEX(military_assets!I:I,mil_ass_all!$B44)</f>
        <v>RUS</v>
      </c>
      <c r="M44" t="str" cm="1">
        <f t="array" ref="M44">INDEX(military_assets!J:J,mil_ass_all!$B44)</f>
        <v>Ship</v>
      </c>
      <c r="N44" t="str" cm="1">
        <f t="array" ref="N44">INDEX(military_assets!K:K,mil_ass_all!$B44)</f>
        <v>S-300: +1 Help Defense.</v>
      </c>
      <c r="O44" t="str" cm="1">
        <f t="array" ref="O44">INDEX(military_assets!L:L,mil_ass_all!$B44)</f>
        <v>Images/kirov.jpg</v>
      </c>
      <c r="P44" t="str" cm="1">
        <f t="array" ref="P44">INDEX(military_assets!M:M,mil_ass_all!$B44)</f>
        <v>Since the decommisioning of the last retrofitted WWII-era battleship in 1991, the Kirov has been the largest surface combatant in the world.</v>
      </c>
      <c r="Q44" t="str" cm="1">
        <f t="array" ref="Q44">INDEX(military_assets!N:N,mil_ass_all!$B44)</f>
        <v>0.0.1</v>
      </c>
    </row>
    <row r="45" spans="1:17" x14ac:dyDescent="0.25">
      <c r="A45">
        <v>1</v>
      </c>
      <c r="B45">
        <v>17</v>
      </c>
      <c r="C45" s="3" t="s">
        <v>285</v>
      </c>
      <c r="D45" t="str" cm="1">
        <f t="array" ref="D45">INDEX(military_assets!A:A,mil_ass_all!$B45)</f>
        <v>Kirov Class CGN</v>
      </c>
      <c r="E45" cm="1">
        <f t="array" ref="E45">INDEX(military_assets!B:B,mil_ass_all!$B45)</f>
        <v>0</v>
      </c>
      <c r="F45" cm="1">
        <f t="array" ref="F45">INDEX(military_assets!C:C,mil_ass_all!$B45)</f>
        <v>0</v>
      </c>
      <c r="G45" cm="1">
        <f t="array" ref="G45">INDEX(military_assets!D:D,mil_ass_all!$B45)</f>
        <v>0</v>
      </c>
      <c r="H45" cm="1">
        <f t="array" ref="H45">INDEX(military_assets!E:E,mil_ass_all!$B45)</f>
        <v>6</v>
      </c>
      <c r="I45" cm="1">
        <f t="array" ref="I45">INDEX(military_assets!F:F,mil_ass_all!$B45)</f>
        <v>2</v>
      </c>
      <c r="J45" cm="1">
        <f t="array" ref="J45">INDEX(military_assets!G:G,mil_ass_all!$B45)</f>
        <v>4</v>
      </c>
      <c r="K45" cm="1">
        <f t="array" ref="K45">INDEX(military_assets!H:H,mil_ass_all!$B45)</f>
        <v>6</v>
      </c>
      <c r="L45" t="str" cm="1">
        <f t="array" ref="L45">INDEX(military_assets!I:I,mil_ass_all!$B45)</f>
        <v>RUS</v>
      </c>
      <c r="M45" t="str" cm="1">
        <f t="array" ref="M45">INDEX(military_assets!J:J,mil_ass_all!$B45)</f>
        <v>Ship</v>
      </c>
      <c r="N45" t="str" cm="1">
        <f t="array" ref="N45">INDEX(military_assets!K:K,mil_ass_all!$B45)</f>
        <v>S-300: +1 Help Defense.</v>
      </c>
      <c r="O45" t="str" cm="1">
        <f t="array" ref="O45">INDEX(military_assets!L:L,mil_ass_all!$B45)</f>
        <v>Images/kirov.jpg</v>
      </c>
      <c r="P45" t="str" cm="1">
        <f t="array" ref="P45">INDEX(military_assets!M:M,mil_ass_all!$B45)</f>
        <v>Since the decommisioning of the last retrofitted WWII-era battleship in 1991, the Kirov has been the largest surface combatant in the world.</v>
      </c>
      <c r="Q45" t="str" cm="1">
        <f t="array" ref="Q45">INDEX(military_assets!N:N,mil_ass_all!$B45)</f>
        <v>0.0.1</v>
      </c>
    </row>
    <row r="46" spans="1:17" x14ac:dyDescent="0.25">
      <c r="A46">
        <v>1</v>
      </c>
      <c r="B46">
        <v>18</v>
      </c>
      <c r="C46" s="3" t="s">
        <v>216</v>
      </c>
      <c r="D46" t="str" cm="1">
        <f t="array" ref="D46">INDEX(military_assets!A:A,mil_ass_all!$B46)</f>
        <v>Slava Class CG</v>
      </c>
      <c r="E46" cm="1">
        <f t="array" ref="E46">INDEX(military_assets!B:B,mil_ass_all!$B46)</f>
        <v>0</v>
      </c>
      <c r="F46" cm="1">
        <f t="array" ref="F46">INDEX(military_assets!C:C,mil_ass_all!$B46)</f>
        <v>0</v>
      </c>
      <c r="G46" cm="1">
        <f t="array" ref="G46">INDEX(military_assets!D:D,mil_ass_all!$B46)</f>
        <v>0</v>
      </c>
      <c r="H46" cm="1">
        <f t="array" ref="H46">INDEX(military_assets!E:E,mil_ass_all!$B46)</f>
        <v>4</v>
      </c>
      <c r="I46" cm="1">
        <f t="array" ref="I46">INDEX(military_assets!F:F,mil_ass_all!$B46)</f>
        <v>2</v>
      </c>
      <c r="J46" cm="1">
        <f t="array" ref="J46">INDEX(military_assets!G:G,mil_ass_all!$B46)</f>
        <v>2</v>
      </c>
      <c r="K46" cm="1">
        <f t="array" ref="K46">INDEX(military_assets!H:H,mil_ass_all!$B46)</f>
        <v>3</v>
      </c>
      <c r="L46" t="str" cm="1">
        <f t="array" ref="L46">INDEX(military_assets!I:I,mil_ass_all!$B46)</f>
        <v>RUS</v>
      </c>
      <c r="M46" t="str" cm="1">
        <f t="array" ref="M46">INDEX(military_assets!J:J,mil_ass_all!$B46)</f>
        <v>Ship</v>
      </c>
      <c r="N46" t="str" cm="1">
        <f t="array" ref="N46">INDEX(military_assets!K:K,mil_ass_all!$B46)</f>
        <v>S-300: +1 Help Defense.</v>
      </c>
      <c r="O46" t="str" cm="1">
        <f t="array" ref="O46">INDEX(military_assets!L:L,mil_ass_all!$B46)</f>
        <v>Images/slava.jpg</v>
      </c>
      <c r="P46" t="str" cm="1">
        <f t="array" ref="P46">INDEX(military_assets!M:M,mil_ass_all!$B46)</f>
        <v>Equipped with the same massive anti-ship missiles as the Kirov class, the Slava packs a similar punch in a considerably smaller form-factor.</v>
      </c>
      <c r="Q46" t="str" cm="1">
        <f t="array" ref="Q46">INDEX(military_assets!N:N,mil_ass_all!$B46)</f>
        <v>0.0.1</v>
      </c>
    </row>
    <row r="47" spans="1:17" x14ac:dyDescent="0.25">
      <c r="A47">
        <v>1</v>
      </c>
      <c r="B47">
        <v>18</v>
      </c>
      <c r="C47" s="3" t="s">
        <v>137</v>
      </c>
      <c r="D47" t="str" cm="1">
        <f t="array" ref="D47">INDEX(military_assets!A:A,mil_ass_all!$B47)</f>
        <v>Slava Class CG</v>
      </c>
      <c r="E47" cm="1">
        <f t="array" ref="E47">INDEX(military_assets!B:B,mil_ass_all!$B47)</f>
        <v>0</v>
      </c>
      <c r="F47" cm="1">
        <f t="array" ref="F47">INDEX(military_assets!C:C,mil_ass_all!$B47)</f>
        <v>0</v>
      </c>
      <c r="G47" cm="1">
        <f t="array" ref="G47">INDEX(military_assets!D:D,mil_ass_all!$B47)</f>
        <v>0</v>
      </c>
      <c r="H47" cm="1">
        <f t="array" ref="H47">INDEX(military_assets!E:E,mil_ass_all!$B47)</f>
        <v>4</v>
      </c>
      <c r="I47" cm="1">
        <f t="array" ref="I47">INDEX(military_assets!F:F,mil_ass_all!$B47)</f>
        <v>2</v>
      </c>
      <c r="J47" cm="1">
        <f t="array" ref="J47">INDEX(military_assets!G:G,mil_ass_all!$B47)</f>
        <v>2</v>
      </c>
      <c r="K47" cm="1">
        <f t="array" ref="K47">INDEX(military_assets!H:H,mil_ass_all!$B47)</f>
        <v>3</v>
      </c>
      <c r="L47" t="str" cm="1">
        <f t="array" ref="L47">INDEX(military_assets!I:I,mil_ass_all!$B47)</f>
        <v>RUS</v>
      </c>
      <c r="M47" t="str" cm="1">
        <f t="array" ref="M47">INDEX(military_assets!J:J,mil_ass_all!$B47)</f>
        <v>Ship</v>
      </c>
      <c r="N47" t="str" cm="1">
        <f t="array" ref="N47">INDEX(military_assets!K:K,mil_ass_all!$B47)</f>
        <v>S-300: +1 Help Defense.</v>
      </c>
      <c r="O47" t="str" cm="1">
        <f t="array" ref="O47">INDEX(military_assets!L:L,mil_ass_all!$B47)</f>
        <v>Images/slava.jpg</v>
      </c>
      <c r="P47" t="str" cm="1">
        <f t="array" ref="P47">INDEX(military_assets!M:M,mil_ass_all!$B47)</f>
        <v>Equipped with the same massive anti-ship missiles as the Kirov class, the Slava packs a similar punch in a considerably smaller form-factor.</v>
      </c>
      <c r="Q47" t="str" cm="1">
        <f t="array" ref="Q47">INDEX(military_assets!N:N,mil_ass_all!$B47)</f>
        <v>0.0.1</v>
      </c>
    </row>
    <row r="48" spans="1:17" x14ac:dyDescent="0.25">
      <c r="A48">
        <v>1</v>
      </c>
      <c r="B48">
        <v>18</v>
      </c>
      <c r="C48" s="3" t="s">
        <v>138</v>
      </c>
      <c r="D48" t="str" cm="1">
        <f t="array" ref="D48">INDEX(military_assets!A:A,mil_ass_all!$B48)</f>
        <v>Slava Class CG</v>
      </c>
      <c r="E48" cm="1">
        <f t="array" ref="E48">INDEX(military_assets!B:B,mil_ass_all!$B48)</f>
        <v>0</v>
      </c>
      <c r="F48" cm="1">
        <f t="array" ref="F48">INDEX(military_assets!C:C,mil_ass_all!$B48)</f>
        <v>0</v>
      </c>
      <c r="G48" cm="1">
        <f t="array" ref="G48">INDEX(military_assets!D:D,mil_ass_all!$B48)</f>
        <v>0</v>
      </c>
      <c r="H48" cm="1">
        <f t="array" ref="H48">INDEX(military_assets!E:E,mil_ass_all!$B48)</f>
        <v>4</v>
      </c>
      <c r="I48" cm="1">
        <f t="array" ref="I48">INDEX(military_assets!F:F,mil_ass_all!$B48)</f>
        <v>2</v>
      </c>
      <c r="J48" cm="1">
        <f t="array" ref="J48">INDEX(military_assets!G:G,mil_ass_all!$B48)</f>
        <v>2</v>
      </c>
      <c r="K48" cm="1">
        <f t="array" ref="K48">INDEX(military_assets!H:H,mil_ass_all!$B48)</f>
        <v>3</v>
      </c>
      <c r="L48" t="str" cm="1">
        <f t="array" ref="L48">INDEX(military_assets!I:I,mil_ass_all!$B48)</f>
        <v>RUS</v>
      </c>
      <c r="M48" t="str" cm="1">
        <f t="array" ref="M48">INDEX(military_assets!J:J,mil_ass_all!$B48)</f>
        <v>Ship</v>
      </c>
      <c r="N48" t="str" cm="1">
        <f t="array" ref="N48">INDEX(military_assets!K:K,mil_ass_all!$B48)</f>
        <v>S-300: +1 Help Defense.</v>
      </c>
      <c r="O48" t="str" cm="1">
        <f t="array" ref="O48">INDEX(military_assets!L:L,mil_ass_all!$B48)</f>
        <v>Images/slava.jpg</v>
      </c>
      <c r="P48" t="str" cm="1">
        <f t="array" ref="P48">INDEX(military_assets!M:M,mil_ass_all!$B48)</f>
        <v>Equipped with the same massive anti-ship missiles as the Kirov class, the Slava packs a similar punch in a considerably smaller form-factor.</v>
      </c>
      <c r="Q48" t="str" cm="1">
        <f t="array" ref="Q48">INDEX(military_assets!N:N,mil_ass_all!$B48)</f>
        <v>0.0.1</v>
      </c>
    </row>
    <row r="49" spans="1:17" x14ac:dyDescent="0.25">
      <c r="A49">
        <v>1</v>
      </c>
      <c r="B49">
        <v>18</v>
      </c>
      <c r="C49" s="3" t="s">
        <v>45</v>
      </c>
      <c r="D49" t="str" cm="1">
        <f t="array" ref="D49">INDEX(military_assets!A:A,mil_ass_all!$B49)</f>
        <v>Slava Class CG</v>
      </c>
      <c r="E49" cm="1">
        <f t="array" ref="E49">INDEX(military_assets!B:B,mil_ass_all!$B49)</f>
        <v>0</v>
      </c>
      <c r="F49" cm="1">
        <f t="array" ref="F49">INDEX(military_assets!C:C,mil_ass_all!$B49)</f>
        <v>0</v>
      </c>
      <c r="G49" cm="1">
        <f t="array" ref="G49">INDEX(military_assets!D:D,mil_ass_all!$B49)</f>
        <v>0</v>
      </c>
      <c r="H49" cm="1">
        <f t="array" ref="H49">INDEX(military_assets!E:E,mil_ass_all!$B49)</f>
        <v>4</v>
      </c>
      <c r="I49" cm="1">
        <f t="array" ref="I49">INDEX(military_assets!F:F,mil_ass_all!$B49)</f>
        <v>2</v>
      </c>
      <c r="J49" cm="1">
        <f t="array" ref="J49">INDEX(military_assets!G:G,mil_ass_all!$B49)</f>
        <v>2</v>
      </c>
      <c r="K49" cm="1">
        <f t="array" ref="K49">INDEX(military_assets!H:H,mil_ass_all!$B49)</f>
        <v>3</v>
      </c>
      <c r="L49" t="str" cm="1">
        <f t="array" ref="L49">INDEX(military_assets!I:I,mil_ass_all!$B49)</f>
        <v>RUS</v>
      </c>
      <c r="M49" t="str" cm="1">
        <f t="array" ref="M49">INDEX(military_assets!J:J,mil_ass_all!$B49)</f>
        <v>Ship</v>
      </c>
      <c r="N49" t="str" cm="1">
        <f t="array" ref="N49">INDEX(military_assets!K:K,mil_ass_all!$B49)</f>
        <v>S-300: +1 Help Defense.</v>
      </c>
      <c r="O49" t="str" cm="1">
        <f t="array" ref="O49">INDEX(military_assets!L:L,mil_ass_all!$B49)</f>
        <v>Images/slava.jpg</v>
      </c>
      <c r="P49" t="str" cm="1">
        <f t="array" ref="P49">INDEX(military_assets!M:M,mil_ass_all!$B49)</f>
        <v>Equipped with the same massive anti-ship missiles as the Kirov class, the Slava packs a similar punch in a considerably smaller form-factor.</v>
      </c>
      <c r="Q49" t="str" cm="1">
        <f t="array" ref="Q49">INDEX(military_assets!N:N,mil_ass_all!$B49)</f>
        <v>0.0.1</v>
      </c>
    </row>
    <row r="50" spans="1:17" x14ac:dyDescent="0.25">
      <c r="A50">
        <v>1</v>
      </c>
      <c r="B50">
        <v>19</v>
      </c>
      <c r="C50" s="3" t="s">
        <v>139</v>
      </c>
      <c r="D50" t="str" cm="1">
        <f t="array" ref="D50">INDEX(military_assets!A:A,mil_ass_all!$B50)</f>
        <v>Udaloy II Class DDG</v>
      </c>
      <c r="E50" cm="1">
        <f t="array" ref="E50">INDEX(military_assets!B:B,mil_ass_all!$B50)</f>
        <v>0</v>
      </c>
      <c r="F50" cm="1">
        <f t="array" ref="F50">INDEX(military_assets!C:C,mil_ass_all!$B50)</f>
        <v>0</v>
      </c>
      <c r="G50" cm="1">
        <f t="array" ref="G50">INDEX(military_assets!D:D,mil_ass_all!$B50)</f>
        <v>0</v>
      </c>
      <c r="H50" cm="1">
        <f t="array" ref="H50">INDEX(military_assets!E:E,mil_ass_all!$B50)</f>
        <v>3</v>
      </c>
      <c r="I50" cm="1">
        <f t="array" ref="I50">INDEX(military_assets!F:F,mil_ass_all!$B50)</f>
        <v>2</v>
      </c>
      <c r="J50" cm="1">
        <f t="array" ref="J50">INDEX(military_assets!G:G,mil_ass_all!$B50)</f>
        <v>3</v>
      </c>
      <c r="K50" cm="1">
        <f t="array" ref="K50">INDEX(military_assets!H:H,mil_ass_all!$B50)</f>
        <v>2</v>
      </c>
      <c r="L50" t="str" cm="1">
        <f t="array" ref="L50">INDEX(military_assets!I:I,mil_ass_all!$B50)</f>
        <v>RUS</v>
      </c>
      <c r="M50" t="str" cm="1">
        <f t="array" ref="M50">INDEX(military_assets!J:J,mil_ass_all!$B50)</f>
        <v>Ship</v>
      </c>
      <c r="N50" t="str" cm="1">
        <f t="array" ref="N50">INDEX(military_assets!K:K,mil_ass_all!$B50)</f>
        <v xml:space="preserve">
</v>
      </c>
      <c r="O50" t="str" cm="1">
        <f t="array" ref="O50">INDEX(military_assets!L:L,mil_ass_all!$B50)</f>
        <v>Images/udaloy.jpg</v>
      </c>
      <c r="P50" t="str" cm="1">
        <f t="array" ref="P50">INDEX(military_assets!M:M,mil_ass_all!$B50)</f>
        <v>Udaloy II: the ship so nice they designed it twice.</v>
      </c>
      <c r="Q50" t="str" cm="1">
        <f t="array" ref="Q50">INDEX(military_assets!N:N,mil_ass_all!$B50)</f>
        <v>0.0.1</v>
      </c>
    </row>
    <row r="51" spans="1:17" x14ac:dyDescent="0.25">
      <c r="A51">
        <v>1</v>
      </c>
      <c r="B51">
        <v>19</v>
      </c>
      <c r="C51" s="3" t="s">
        <v>140</v>
      </c>
      <c r="D51" t="str" cm="1">
        <f t="array" ref="D51">INDEX(military_assets!A:A,mil_ass_all!$B51)</f>
        <v>Udaloy II Class DDG</v>
      </c>
      <c r="E51" cm="1">
        <f t="array" ref="E51">INDEX(military_assets!B:B,mil_ass_all!$B51)</f>
        <v>0</v>
      </c>
      <c r="F51" cm="1">
        <f t="array" ref="F51">INDEX(military_assets!C:C,mil_ass_all!$B51)</f>
        <v>0</v>
      </c>
      <c r="G51" cm="1">
        <f t="array" ref="G51">INDEX(military_assets!D:D,mil_ass_all!$B51)</f>
        <v>0</v>
      </c>
      <c r="H51" cm="1">
        <f t="array" ref="H51">INDEX(military_assets!E:E,mil_ass_all!$B51)</f>
        <v>3</v>
      </c>
      <c r="I51" cm="1">
        <f t="array" ref="I51">INDEX(military_assets!F:F,mil_ass_all!$B51)</f>
        <v>2</v>
      </c>
      <c r="J51" cm="1">
        <f t="array" ref="J51">INDEX(military_assets!G:G,mil_ass_all!$B51)</f>
        <v>3</v>
      </c>
      <c r="K51" cm="1">
        <f t="array" ref="K51">INDEX(military_assets!H:H,mil_ass_all!$B51)</f>
        <v>2</v>
      </c>
      <c r="L51" t="str" cm="1">
        <f t="array" ref="L51">INDEX(military_assets!I:I,mil_ass_all!$B51)</f>
        <v>RUS</v>
      </c>
      <c r="M51" t="str" cm="1">
        <f t="array" ref="M51">INDEX(military_assets!J:J,mil_ass_all!$B51)</f>
        <v>Ship</v>
      </c>
      <c r="N51" t="str" cm="1">
        <f t="array" ref="N51">INDEX(military_assets!K:K,mil_ass_all!$B51)</f>
        <v xml:space="preserve">
</v>
      </c>
      <c r="O51" t="str" cm="1">
        <f t="array" ref="O51">INDEX(military_assets!L:L,mil_ass_all!$B51)</f>
        <v>Images/udaloy.jpg</v>
      </c>
      <c r="P51" t="str" cm="1">
        <f t="array" ref="P51">INDEX(military_assets!M:M,mil_ass_all!$B51)</f>
        <v>Udaloy II: the ship so nice they designed it twice.</v>
      </c>
      <c r="Q51" t="str" cm="1">
        <f t="array" ref="Q51">INDEX(military_assets!N:N,mil_ass_all!$B51)</f>
        <v>0.0.1</v>
      </c>
    </row>
    <row r="52" spans="1:17" x14ac:dyDescent="0.25">
      <c r="A52">
        <v>1</v>
      </c>
      <c r="B52">
        <v>19</v>
      </c>
      <c r="C52" s="3" t="s">
        <v>286</v>
      </c>
      <c r="D52" t="str" cm="1">
        <f t="array" ref="D52">INDEX(military_assets!A:A,mil_ass_all!$B52)</f>
        <v>Udaloy II Class DDG</v>
      </c>
      <c r="E52" cm="1">
        <f t="array" ref="E52">INDEX(military_assets!B:B,mil_ass_all!$B52)</f>
        <v>0</v>
      </c>
      <c r="F52" cm="1">
        <f t="array" ref="F52">INDEX(military_assets!C:C,mil_ass_all!$B52)</f>
        <v>0</v>
      </c>
      <c r="G52" cm="1">
        <f t="array" ref="G52">INDEX(military_assets!D:D,mil_ass_all!$B52)</f>
        <v>0</v>
      </c>
      <c r="H52" cm="1">
        <f t="array" ref="H52">INDEX(military_assets!E:E,mil_ass_all!$B52)</f>
        <v>3</v>
      </c>
      <c r="I52" cm="1">
        <f t="array" ref="I52">INDEX(military_assets!F:F,mil_ass_all!$B52)</f>
        <v>2</v>
      </c>
      <c r="J52" cm="1">
        <f t="array" ref="J52">INDEX(military_assets!G:G,mil_ass_all!$B52)</f>
        <v>3</v>
      </c>
      <c r="K52" cm="1">
        <f t="array" ref="K52">INDEX(military_assets!H:H,mil_ass_all!$B52)</f>
        <v>2</v>
      </c>
      <c r="L52" t="str" cm="1">
        <f t="array" ref="L52">INDEX(military_assets!I:I,mil_ass_all!$B52)</f>
        <v>RUS</v>
      </c>
      <c r="M52" t="str" cm="1">
        <f t="array" ref="M52">INDEX(military_assets!J:J,mil_ass_all!$B52)</f>
        <v>Ship</v>
      </c>
      <c r="N52" t="str" cm="1">
        <f t="array" ref="N52">INDEX(military_assets!K:K,mil_ass_all!$B52)</f>
        <v xml:space="preserve">
</v>
      </c>
      <c r="O52" t="str" cm="1">
        <f t="array" ref="O52">INDEX(military_assets!L:L,mil_ass_all!$B52)</f>
        <v>Images/udaloy.jpg</v>
      </c>
      <c r="P52" t="str" cm="1">
        <f t="array" ref="P52">INDEX(military_assets!M:M,mil_ass_all!$B52)</f>
        <v>Udaloy II: the ship so nice they designed it twice.</v>
      </c>
      <c r="Q52" t="str" cm="1">
        <f t="array" ref="Q52">INDEX(military_assets!N:N,mil_ass_all!$B52)</f>
        <v>0.0.1</v>
      </c>
    </row>
    <row r="53" spans="1:17" x14ac:dyDescent="0.25">
      <c r="A53">
        <v>1</v>
      </c>
      <c r="B53">
        <v>19</v>
      </c>
      <c r="C53" s="3" t="s">
        <v>287</v>
      </c>
      <c r="D53" t="str" cm="1">
        <f t="array" ref="D53">INDEX(military_assets!A:A,mil_ass_all!$B53)</f>
        <v>Udaloy II Class DDG</v>
      </c>
      <c r="E53" cm="1">
        <f t="array" ref="E53">INDEX(military_assets!B:B,mil_ass_all!$B53)</f>
        <v>0</v>
      </c>
      <c r="F53" cm="1">
        <f t="array" ref="F53">INDEX(military_assets!C:C,mil_ass_all!$B53)</f>
        <v>0</v>
      </c>
      <c r="G53" cm="1">
        <f t="array" ref="G53">INDEX(military_assets!D:D,mil_ass_all!$B53)</f>
        <v>0</v>
      </c>
      <c r="H53" cm="1">
        <f t="array" ref="H53">INDEX(military_assets!E:E,mil_ass_all!$B53)</f>
        <v>3</v>
      </c>
      <c r="I53" cm="1">
        <f t="array" ref="I53">INDEX(military_assets!F:F,mil_ass_all!$B53)</f>
        <v>2</v>
      </c>
      <c r="J53" cm="1">
        <f t="array" ref="J53">INDEX(military_assets!G:G,mil_ass_all!$B53)</f>
        <v>3</v>
      </c>
      <c r="K53" cm="1">
        <f t="array" ref="K53">INDEX(military_assets!H:H,mil_ass_all!$B53)</f>
        <v>2</v>
      </c>
      <c r="L53" t="str" cm="1">
        <f t="array" ref="L53">INDEX(military_assets!I:I,mil_ass_all!$B53)</f>
        <v>RUS</v>
      </c>
      <c r="M53" t="str" cm="1">
        <f t="array" ref="M53">INDEX(military_assets!J:J,mil_ass_all!$B53)</f>
        <v>Ship</v>
      </c>
      <c r="N53" t="str" cm="1">
        <f t="array" ref="N53">INDEX(military_assets!K:K,mil_ass_all!$B53)</f>
        <v xml:space="preserve">
</v>
      </c>
      <c r="O53" t="str" cm="1">
        <f t="array" ref="O53">INDEX(military_assets!L:L,mil_ass_all!$B53)</f>
        <v>Images/udaloy.jpg</v>
      </c>
      <c r="P53" t="str" cm="1">
        <f t="array" ref="P53">INDEX(military_assets!M:M,mil_ass_all!$B53)</f>
        <v>Udaloy II: the ship so nice they designed it twice.</v>
      </c>
      <c r="Q53" t="str" cm="1">
        <f t="array" ref="Q53">INDEX(military_assets!N:N,mil_ass_all!$B53)</f>
        <v>0.0.1</v>
      </c>
    </row>
    <row r="54" spans="1:17" x14ac:dyDescent="0.25">
      <c r="A54">
        <v>1</v>
      </c>
      <c r="B54">
        <v>19</v>
      </c>
      <c r="C54" s="3" t="s">
        <v>44</v>
      </c>
      <c r="D54" t="str" cm="1">
        <f t="array" ref="D54">INDEX(military_assets!A:A,mil_ass_all!$B54)</f>
        <v>Udaloy II Class DDG</v>
      </c>
      <c r="E54" cm="1">
        <f t="array" ref="E54">INDEX(military_assets!B:B,mil_ass_all!$B54)</f>
        <v>0</v>
      </c>
      <c r="F54" cm="1">
        <f t="array" ref="F54">INDEX(military_assets!C:C,mil_ass_all!$B54)</f>
        <v>0</v>
      </c>
      <c r="G54" cm="1">
        <f t="array" ref="G54">INDEX(military_assets!D:D,mil_ass_all!$B54)</f>
        <v>0</v>
      </c>
      <c r="H54" cm="1">
        <f t="array" ref="H54">INDEX(military_assets!E:E,mil_ass_all!$B54)</f>
        <v>3</v>
      </c>
      <c r="I54" cm="1">
        <f t="array" ref="I54">INDEX(military_assets!F:F,mil_ass_all!$B54)</f>
        <v>2</v>
      </c>
      <c r="J54" cm="1">
        <f t="array" ref="J54">INDEX(military_assets!G:G,mil_ass_all!$B54)</f>
        <v>3</v>
      </c>
      <c r="K54" cm="1">
        <f t="array" ref="K54">INDEX(military_assets!H:H,mil_ass_all!$B54)</f>
        <v>2</v>
      </c>
      <c r="L54" t="str" cm="1">
        <f t="array" ref="L54">INDEX(military_assets!I:I,mil_ass_all!$B54)</f>
        <v>RUS</v>
      </c>
      <c r="M54" t="str" cm="1">
        <f t="array" ref="M54">INDEX(military_assets!J:J,mil_ass_all!$B54)</f>
        <v>Ship</v>
      </c>
      <c r="N54" t="str" cm="1">
        <f t="array" ref="N54">INDEX(military_assets!K:K,mil_ass_all!$B54)</f>
        <v xml:space="preserve">
</v>
      </c>
      <c r="O54" t="str" cm="1">
        <f t="array" ref="O54">INDEX(military_assets!L:L,mil_ass_all!$B54)</f>
        <v>Images/udaloy.jpg</v>
      </c>
      <c r="P54" t="str" cm="1">
        <f t="array" ref="P54">INDEX(military_assets!M:M,mil_ass_all!$B54)</f>
        <v>Udaloy II: the ship so nice they designed it twice.</v>
      </c>
      <c r="Q54" t="str" cm="1">
        <f t="array" ref="Q54">INDEX(military_assets!N:N,mil_ass_all!$B54)</f>
        <v>0.0.1</v>
      </c>
    </row>
    <row r="55" spans="1:17" x14ac:dyDescent="0.25">
      <c r="A55">
        <v>1</v>
      </c>
      <c r="B55">
        <v>19</v>
      </c>
      <c r="C55" s="3" t="s">
        <v>288</v>
      </c>
      <c r="D55" t="str" cm="1">
        <f t="array" ref="D55">INDEX(military_assets!A:A,mil_ass_all!$B55)</f>
        <v>Udaloy II Class DDG</v>
      </c>
      <c r="E55" cm="1">
        <f t="array" ref="E55">INDEX(military_assets!B:B,mil_ass_all!$B55)</f>
        <v>0</v>
      </c>
      <c r="F55" cm="1">
        <f t="array" ref="F55">INDEX(military_assets!C:C,mil_ass_all!$B55)</f>
        <v>0</v>
      </c>
      <c r="G55" cm="1">
        <f t="array" ref="G55">INDEX(military_assets!D:D,mil_ass_all!$B55)</f>
        <v>0</v>
      </c>
      <c r="H55" cm="1">
        <f t="array" ref="H55">INDEX(military_assets!E:E,mil_ass_all!$B55)</f>
        <v>3</v>
      </c>
      <c r="I55" cm="1">
        <f t="array" ref="I55">INDEX(military_assets!F:F,mil_ass_all!$B55)</f>
        <v>2</v>
      </c>
      <c r="J55" cm="1">
        <f t="array" ref="J55">INDEX(military_assets!G:G,mil_ass_all!$B55)</f>
        <v>3</v>
      </c>
      <c r="K55" cm="1">
        <f t="array" ref="K55">INDEX(military_assets!H:H,mil_ass_all!$B55)</f>
        <v>2</v>
      </c>
      <c r="L55" t="str" cm="1">
        <f t="array" ref="L55">INDEX(military_assets!I:I,mil_ass_all!$B55)</f>
        <v>RUS</v>
      </c>
      <c r="M55" t="str" cm="1">
        <f t="array" ref="M55">INDEX(military_assets!J:J,mil_ass_all!$B55)</f>
        <v>Ship</v>
      </c>
      <c r="N55" t="str" cm="1">
        <f t="array" ref="N55">INDEX(military_assets!K:K,mil_ass_all!$B55)</f>
        <v xml:space="preserve">
</v>
      </c>
      <c r="O55" t="str" cm="1">
        <f t="array" ref="O55">INDEX(military_assets!L:L,mil_ass_all!$B55)</f>
        <v>Images/udaloy.jpg</v>
      </c>
      <c r="P55" t="str" cm="1">
        <f t="array" ref="P55">INDEX(military_assets!M:M,mil_ass_all!$B55)</f>
        <v>Udaloy II: the ship so nice they designed it twice.</v>
      </c>
      <c r="Q55" t="str" cm="1">
        <f t="array" ref="Q55">INDEX(military_assets!N:N,mil_ass_all!$B55)</f>
        <v>0.0.1</v>
      </c>
    </row>
    <row r="56" spans="1:17" x14ac:dyDescent="0.25">
      <c r="A56">
        <v>1</v>
      </c>
      <c r="B56">
        <v>28</v>
      </c>
      <c r="C56" s="3" t="s">
        <v>299</v>
      </c>
      <c r="D56" t="str" cm="1">
        <f t="array" ref="D56">INDEX(military_assets!A:A,mil_ass_all!$B56)</f>
        <v>Sovremanny Class DDG</v>
      </c>
      <c r="E56" cm="1">
        <f t="array" ref="E56">INDEX(military_assets!B:B,mil_ass_all!$B56)</f>
        <v>0</v>
      </c>
      <c r="F56" cm="1">
        <f t="array" ref="F56">INDEX(military_assets!C:C,mil_ass_all!$B56)</f>
        <v>0</v>
      </c>
      <c r="G56" cm="1">
        <f t="array" ref="G56">INDEX(military_assets!D:D,mil_ass_all!$B56)</f>
        <v>0</v>
      </c>
      <c r="H56" cm="1">
        <f t="array" ref="H56">INDEX(military_assets!E:E,mil_ass_all!$B56)</f>
        <v>2</v>
      </c>
      <c r="I56" cm="1">
        <f t="array" ref="I56">INDEX(military_assets!F:F,mil_ass_all!$B56)</f>
        <v>0</v>
      </c>
      <c r="J56" cm="1">
        <f t="array" ref="J56">INDEX(military_assets!G:G,mil_ass_all!$B56)</f>
        <v>2</v>
      </c>
      <c r="K56" cm="1">
        <f t="array" ref="K56">INDEX(military_assets!H:H,mil_ass_all!$B56)</f>
        <v>1</v>
      </c>
      <c r="L56" t="str" cm="1">
        <f t="array" ref="L56">INDEX(military_assets!I:I,mil_ass_all!$B56)</f>
        <v>RUS</v>
      </c>
      <c r="M56" t="str" cm="1">
        <f t="array" ref="M56">INDEX(military_assets!J:J,mil_ass_all!$B56)</f>
        <v>Ship</v>
      </c>
      <c r="N56" t="str" cm="1">
        <f t="array" ref="N56">INDEX(military_assets!K:K,mil_ass_all!$B56)</f>
        <v xml:space="preserve">
</v>
      </c>
      <c r="O56" t="str" cm="1">
        <f t="array" ref="O56">INDEX(military_assets!L:L,mil_ass_all!$B56)</f>
        <v>Images/sovremenny.jpg</v>
      </c>
      <c r="P56" t="str" cm="1">
        <f t="array" ref="P56">INDEX(military_assets!M:M,mil_ass_all!$B56)</f>
        <v>With a name that means "modern" in Russian, they are the oldest class of destroyer in the Russian Navy.</v>
      </c>
      <c r="Q56" t="str" cm="1">
        <f t="array" ref="Q56">INDEX(military_assets!N:N,mil_ass_all!$B56)</f>
        <v>0.0.1</v>
      </c>
    </row>
    <row r="57" spans="1:17" x14ac:dyDescent="0.25">
      <c r="A57">
        <v>1</v>
      </c>
      <c r="B57">
        <v>28</v>
      </c>
      <c r="C57" s="3" t="s">
        <v>300</v>
      </c>
      <c r="D57" t="str" cm="1">
        <f t="array" ref="D57">INDEX(military_assets!A:A,mil_ass_all!$B57)</f>
        <v>Sovremanny Class DDG</v>
      </c>
      <c r="E57" cm="1">
        <f t="array" ref="E57">INDEX(military_assets!B:B,mil_ass_all!$B57)</f>
        <v>0</v>
      </c>
      <c r="F57" cm="1">
        <f t="array" ref="F57">INDEX(military_assets!C:C,mil_ass_all!$B57)</f>
        <v>0</v>
      </c>
      <c r="G57" cm="1">
        <f t="array" ref="G57">INDEX(military_assets!D:D,mil_ass_all!$B57)</f>
        <v>0</v>
      </c>
      <c r="H57" cm="1">
        <f t="array" ref="H57">INDEX(military_assets!E:E,mil_ass_all!$B57)</f>
        <v>2</v>
      </c>
      <c r="I57" cm="1">
        <f t="array" ref="I57">INDEX(military_assets!F:F,mil_ass_all!$B57)</f>
        <v>0</v>
      </c>
      <c r="J57" cm="1">
        <f t="array" ref="J57">INDEX(military_assets!G:G,mil_ass_all!$B57)</f>
        <v>2</v>
      </c>
      <c r="K57" cm="1">
        <f t="array" ref="K57">INDEX(military_assets!H:H,mil_ass_all!$B57)</f>
        <v>1</v>
      </c>
      <c r="L57" t="str" cm="1">
        <f t="array" ref="L57">INDEX(military_assets!I:I,mil_ass_all!$B57)</f>
        <v>RUS</v>
      </c>
      <c r="M57" t="str" cm="1">
        <f t="array" ref="M57">INDEX(military_assets!J:J,mil_ass_all!$B57)</f>
        <v>Ship</v>
      </c>
      <c r="N57" t="str" cm="1">
        <f t="array" ref="N57">INDEX(military_assets!K:K,mil_ass_all!$B57)</f>
        <v xml:space="preserve">
</v>
      </c>
      <c r="O57" t="str" cm="1">
        <f t="array" ref="O57">INDEX(military_assets!L:L,mil_ass_all!$B57)</f>
        <v>Images/sovremenny.jpg</v>
      </c>
      <c r="P57" t="str" cm="1">
        <f t="array" ref="P57">INDEX(military_assets!M:M,mil_ass_all!$B57)</f>
        <v>With a name that means "modern" in Russian, they are the oldest class of destroyer in the Russian Navy.</v>
      </c>
      <c r="Q57" t="str" cm="1">
        <f t="array" ref="Q57">INDEX(military_assets!N:N,mil_ass_all!$B57)</f>
        <v>0.0.1</v>
      </c>
    </row>
    <row r="58" spans="1:17" x14ac:dyDescent="0.25">
      <c r="A58">
        <v>1</v>
      </c>
      <c r="B58">
        <v>28</v>
      </c>
      <c r="C58" s="3" t="s">
        <v>285</v>
      </c>
      <c r="D58" t="str" cm="1">
        <f t="array" ref="D58">INDEX(military_assets!A:A,mil_ass_all!$B58)</f>
        <v>Sovremanny Class DDG</v>
      </c>
      <c r="E58" cm="1">
        <f t="array" ref="E58">INDEX(military_assets!B:B,mil_ass_all!$B58)</f>
        <v>0</v>
      </c>
      <c r="F58" cm="1">
        <f t="array" ref="F58">INDEX(military_assets!C:C,mil_ass_all!$B58)</f>
        <v>0</v>
      </c>
      <c r="G58" cm="1">
        <f t="array" ref="G58">INDEX(military_assets!D:D,mil_ass_all!$B58)</f>
        <v>0</v>
      </c>
      <c r="H58" cm="1">
        <f t="array" ref="H58">INDEX(military_assets!E:E,mil_ass_all!$B58)</f>
        <v>2</v>
      </c>
      <c r="I58" cm="1">
        <f t="array" ref="I58">INDEX(military_assets!F:F,mil_ass_all!$B58)</f>
        <v>0</v>
      </c>
      <c r="J58" cm="1">
        <f t="array" ref="J58">INDEX(military_assets!G:G,mil_ass_all!$B58)</f>
        <v>2</v>
      </c>
      <c r="K58" cm="1">
        <f t="array" ref="K58">INDEX(military_assets!H:H,mil_ass_all!$B58)</f>
        <v>1</v>
      </c>
      <c r="L58" t="str" cm="1">
        <f t="array" ref="L58">INDEX(military_assets!I:I,mil_ass_all!$B58)</f>
        <v>RUS</v>
      </c>
      <c r="M58" t="str" cm="1">
        <f t="array" ref="M58">INDEX(military_assets!J:J,mil_ass_all!$B58)</f>
        <v>Ship</v>
      </c>
      <c r="N58" t="str" cm="1">
        <f t="array" ref="N58">INDEX(military_assets!K:K,mil_ass_all!$B58)</f>
        <v xml:space="preserve">
</v>
      </c>
      <c r="O58" t="str" cm="1">
        <f t="array" ref="O58">INDEX(military_assets!L:L,mil_ass_all!$B58)</f>
        <v>Images/sovremenny.jpg</v>
      </c>
      <c r="P58" t="str" cm="1">
        <f t="array" ref="P58">INDEX(military_assets!M:M,mil_ass_all!$B58)</f>
        <v>With a name that means "modern" in Russian, they are the oldest class of destroyer in the Russian Navy.</v>
      </c>
      <c r="Q58" t="str" cm="1">
        <f t="array" ref="Q58">INDEX(military_assets!N:N,mil_ass_all!$B58)</f>
        <v>0.0.1</v>
      </c>
    </row>
    <row r="59" spans="1:17" x14ac:dyDescent="0.25">
      <c r="A59">
        <v>1</v>
      </c>
      <c r="B59">
        <v>28</v>
      </c>
      <c r="C59" s="3" t="s">
        <v>301</v>
      </c>
      <c r="D59" t="str" cm="1">
        <f t="array" ref="D59">INDEX(military_assets!A:A,mil_ass_all!$B59)</f>
        <v>Sovremanny Class DDG</v>
      </c>
      <c r="E59" cm="1">
        <f t="array" ref="E59">INDEX(military_assets!B:B,mil_ass_all!$B59)</f>
        <v>0</v>
      </c>
      <c r="F59" cm="1">
        <f t="array" ref="F59">INDEX(military_assets!C:C,mil_ass_all!$B59)</f>
        <v>0</v>
      </c>
      <c r="G59" cm="1">
        <f t="array" ref="G59">INDEX(military_assets!D:D,mil_ass_all!$B59)</f>
        <v>0</v>
      </c>
      <c r="H59" cm="1">
        <f t="array" ref="H59">INDEX(military_assets!E:E,mil_ass_all!$B59)</f>
        <v>2</v>
      </c>
      <c r="I59" cm="1">
        <f t="array" ref="I59">INDEX(military_assets!F:F,mil_ass_all!$B59)</f>
        <v>0</v>
      </c>
      <c r="J59" cm="1">
        <f t="array" ref="J59">INDEX(military_assets!G:G,mil_ass_all!$B59)</f>
        <v>2</v>
      </c>
      <c r="K59" cm="1">
        <f t="array" ref="K59">INDEX(military_assets!H:H,mil_ass_all!$B59)</f>
        <v>1</v>
      </c>
      <c r="L59" t="str" cm="1">
        <f t="array" ref="L59">INDEX(military_assets!I:I,mil_ass_all!$B59)</f>
        <v>RUS</v>
      </c>
      <c r="M59" t="str" cm="1">
        <f t="array" ref="M59">INDEX(military_assets!J:J,mil_ass_all!$B59)</f>
        <v>Ship</v>
      </c>
      <c r="N59" t="str" cm="1">
        <f t="array" ref="N59">INDEX(military_assets!K:K,mil_ass_all!$B59)</f>
        <v xml:space="preserve">
</v>
      </c>
      <c r="O59" t="str" cm="1">
        <f t="array" ref="O59">INDEX(military_assets!L:L,mil_ass_all!$B59)</f>
        <v>Images/sovremenny.jpg</v>
      </c>
      <c r="P59" t="str" cm="1">
        <f t="array" ref="P59">INDEX(military_assets!M:M,mil_ass_all!$B59)</f>
        <v>With a name that means "modern" in Russian, they are the oldest class of destroyer in the Russian Navy.</v>
      </c>
      <c r="Q59" t="str" cm="1">
        <f t="array" ref="Q59">INDEX(military_assets!N:N,mil_ass_all!$B59)</f>
        <v>0.0.1</v>
      </c>
    </row>
    <row r="60" spans="1:17" x14ac:dyDescent="0.25">
      <c r="A60">
        <v>1</v>
      </c>
      <c r="B60">
        <v>20</v>
      </c>
      <c r="C60" s="3" t="s">
        <v>141</v>
      </c>
      <c r="D60" t="str" cm="1">
        <f t="array" ref="D60">INDEX(military_assets!A:A,mil_ass_all!$B60)</f>
        <v>Gorshkov Class FFG</v>
      </c>
      <c r="E60" cm="1">
        <f t="array" ref="E60">INDEX(military_assets!B:B,mil_ass_all!$B60)</f>
        <v>0</v>
      </c>
      <c r="F60" cm="1">
        <f t="array" ref="F60">INDEX(military_assets!C:C,mil_ass_all!$B60)</f>
        <v>0</v>
      </c>
      <c r="G60" cm="1">
        <f t="array" ref="G60">INDEX(military_assets!D:D,mil_ass_all!$B60)</f>
        <v>0</v>
      </c>
      <c r="H60" cm="1">
        <f t="array" ref="H60">INDEX(military_assets!E:E,mil_ass_all!$B60)</f>
        <v>3</v>
      </c>
      <c r="I60" cm="1">
        <f t="array" ref="I60">INDEX(military_assets!F:F,mil_ass_all!$B60)</f>
        <v>2</v>
      </c>
      <c r="J60" cm="1">
        <f t="array" ref="J60">INDEX(military_assets!G:G,mil_ass_all!$B60)</f>
        <v>2</v>
      </c>
      <c r="K60" cm="1">
        <f t="array" ref="K60">INDEX(military_assets!H:H,mil_ass_all!$B60)</f>
        <v>2</v>
      </c>
      <c r="L60" t="str" cm="1">
        <f t="array" ref="L60">INDEX(military_assets!I:I,mil_ass_all!$B60)</f>
        <v>RUS</v>
      </c>
      <c r="M60" t="str" cm="1">
        <f t="array" ref="M60">INDEX(military_assets!J:J,mil_ass_all!$B60)</f>
        <v>Ship</v>
      </c>
      <c r="N60" t="str" cm="1">
        <f t="array" ref="N60">INDEX(military_assets!K:K,mil_ass_all!$B60)</f>
        <v xml:space="preserve">Hidden: Can be played face down. </v>
      </c>
      <c r="O60" t="str" cm="1">
        <f t="array" ref="O60">INDEX(military_assets!L:L,mil_ass_all!$B60)</f>
        <v>Images/gorshkov.jpg</v>
      </c>
      <c r="P60" t="str" cm="1">
        <f t="array" ref="P60">INDEX(military_assets!M:M,mil_ass_all!$B60)</f>
        <v>The cutting-edge Gorshkov frigates stick out in the largely-outdated Russian surface warfare fleet.</v>
      </c>
      <c r="Q60" t="str" cm="1">
        <f t="array" ref="Q60">INDEX(military_assets!N:N,mil_ass_all!$B60)</f>
        <v>0.0.1</v>
      </c>
    </row>
    <row r="61" spans="1:17" x14ac:dyDescent="0.25">
      <c r="A61">
        <v>1</v>
      </c>
      <c r="B61">
        <v>20</v>
      </c>
      <c r="C61" s="3" t="s">
        <v>289</v>
      </c>
      <c r="D61" t="str" cm="1">
        <f t="array" ref="D61">INDEX(military_assets!A:A,mil_ass_all!$B61)</f>
        <v>Gorshkov Class FFG</v>
      </c>
      <c r="E61" cm="1">
        <f t="array" ref="E61">INDEX(military_assets!B:B,mil_ass_all!$B61)</f>
        <v>0</v>
      </c>
      <c r="F61" cm="1">
        <f t="array" ref="F61">INDEX(military_assets!C:C,mil_ass_all!$B61)</f>
        <v>0</v>
      </c>
      <c r="G61" cm="1">
        <f t="array" ref="G61">INDEX(military_assets!D:D,mil_ass_all!$B61)</f>
        <v>0</v>
      </c>
      <c r="H61" cm="1">
        <f t="array" ref="H61">INDEX(military_assets!E:E,mil_ass_all!$B61)</f>
        <v>3</v>
      </c>
      <c r="I61" cm="1">
        <f t="array" ref="I61">INDEX(military_assets!F:F,mil_ass_all!$B61)</f>
        <v>2</v>
      </c>
      <c r="J61" cm="1">
        <f t="array" ref="J61">INDEX(military_assets!G:G,mil_ass_all!$B61)</f>
        <v>2</v>
      </c>
      <c r="K61" cm="1">
        <f t="array" ref="K61">INDEX(military_assets!H:H,mil_ass_all!$B61)</f>
        <v>2</v>
      </c>
      <c r="L61" t="str" cm="1">
        <f t="array" ref="L61">INDEX(military_assets!I:I,mil_ass_all!$B61)</f>
        <v>RUS</v>
      </c>
      <c r="M61" t="str" cm="1">
        <f t="array" ref="M61">INDEX(military_assets!J:J,mil_ass_all!$B61)</f>
        <v>Ship</v>
      </c>
      <c r="N61" t="str" cm="1">
        <f t="array" ref="N61">INDEX(military_assets!K:K,mil_ass_all!$B61)</f>
        <v xml:space="preserve">Hidden: Can be played face down. </v>
      </c>
      <c r="O61" t="str" cm="1">
        <f t="array" ref="O61">INDEX(military_assets!L:L,mil_ass_all!$B61)</f>
        <v>Images/gorshkov.jpg</v>
      </c>
      <c r="P61" t="str" cm="1">
        <f t="array" ref="P61">INDEX(military_assets!M:M,mil_ass_all!$B61)</f>
        <v>The cutting-edge Gorshkov frigates stick out in the largely-outdated Russian surface warfare fleet.</v>
      </c>
      <c r="Q61" t="str" cm="1">
        <f t="array" ref="Q61">INDEX(military_assets!N:N,mil_ass_all!$B61)</f>
        <v>0.0.1</v>
      </c>
    </row>
    <row r="62" spans="1:17" x14ac:dyDescent="0.25">
      <c r="A62">
        <v>1</v>
      </c>
      <c r="B62">
        <v>21</v>
      </c>
      <c r="C62" s="3" t="s">
        <v>217</v>
      </c>
      <c r="D62" t="str" cm="1">
        <f t="array" ref="D62">INDEX(military_assets!A:A,mil_ass_all!$B62)</f>
        <v>Yasen Class SSGN</v>
      </c>
      <c r="E62" cm="1">
        <f t="array" ref="E62">INDEX(military_assets!B:B,mil_ass_all!$B62)</f>
        <v>0</v>
      </c>
      <c r="F62" cm="1">
        <f t="array" ref="F62">INDEX(military_assets!C:C,mil_ass_all!$B62)</f>
        <v>0</v>
      </c>
      <c r="G62" cm="1">
        <f t="array" ref="G62">INDEX(military_assets!D:D,mil_ass_all!$B62)</f>
        <v>0</v>
      </c>
      <c r="H62" cm="1">
        <f t="array" ref="H62">INDEX(military_assets!E:E,mil_ass_all!$B62)</f>
        <v>5</v>
      </c>
      <c r="I62" cm="1">
        <f t="array" ref="I62">INDEX(military_assets!F:F,mil_ass_all!$B62)</f>
        <v>0</v>
      </c>
      <c r="J62" cm="1">
        <f t="array" ref="J62">INDEX(military_assets!G:G,mil_ass_all!$B62)</f>
        <v>3</v>
      </c>
      <c r="K62" cm="1">
        <f t="array" ref="K62">INDEX(military_assets!H:H,mil_ass_all!$B62)</f>
        <v>5</v>
      </c>
      <c r="L62" t="str" cm="1">
        <f t="array" ref="L62">INDEX(military_assets!I:I,mil_ass_all!$B62)</f>
        <v>RUS</v>
      </c>
      <c r="M62" t="str" cm="1">
        <f t="array" ref="M62">INDEX(military_assets!J:J,mil_ass_all!$B62)</f>
        <v>Submarine</v>
      </c>
      <c r="N62" t="str" cm="1">
        <f t="array" ref="N62">INDEX(military_assets!K:K,mil_ass_all!$B62)</f>
        <v>Hidden: Can be played face down. 
Ambush: This asset deals damage during the Ambush Damage Step.
Commerce Raider: When assaulting a player, this military asset's assault is equal to its attack.</v>
      </c>
      <c r="O62" t="str" cm="1">
        <f t="array" ref="O62">INDEX(military_assets!L:L,mil_ass_all!$B62)</f>
        <v>Images/yasen.jpg</v>
      </c>
      <c r="P62" t="str" cm="1">
        <f t="array" ref="P62">INDEX(military_assets!M:M,mil_ass_all!$B62)</f>
        <v>With more than twice the firepower of western submarines, the Yasen is Russia's best effort in no-expense-spared attack submarine development.</v>
      </c>
      <c r="Q62" t="str" cm="1">
        <f t="array" ref="Q62">INDEX(military_assets!N:N,mil_ass_all!$B62)</f>
        <v>0.0.1</v>
      </c>
    </row>
    <row r="63" spans="1:17" x14ac:dyDescent="0.25">
      <c r="A63">
        <v>1</v>
      </c>
      <c r="B63">
        <v>21</v>
      </c>
      <c r="C63" s="3" t="s">
        <v>142</v>
      </c>
      <c r="D63" t="str" cm="1">
        <f t="array" ref="D63">INDEX(military_assets!A:A,mil_ass_all!$B63)</f>
        <v>Yasen Class SSGN</v>
      </c>
      <c r="E63" cm="1">
        <f t="array" ref="E63">INDEX(military_assets!B:B,mil_ass_all!$B63)</f>
        <v>0</v>
      </c>
      <c r="F63" cm="1">
        <f t="array" ref="F63">INDEX(military_assets!C:C,mil_ass_all!$B63)</f>
        <v>0</v>
      </c>
      <c r="G63" cm="1">
        <f t="array" ref="G63">INDEX(military_assets!D:D,mil_ass_all!$B63)</f>
        <v>0</v>
      </c>
      <c r="H63" cm="1">
        <f t="array" ref="H63">INDEX(military_assets!E:E,mil_ass_all!$B63)</f>
        <v>5</v>
      </c>
      <c r="I63" cm="1">
        <f t="array" ref="I63">INDEX(military_assets!F:F,mil_ass_all!$B63)</f>
        <v>0</v>
      </c>
      <c r="J63" cm="1">
        <f t="array" ref="J63">INDEX(military_assets!G:G,mil_ass_all!$B63)</f>
        <v>3</v>
      </c>
      <c r="K63" cm="1">
        <f t="array" ref="K63">INDEX(military_assets!H:H,mil_ass_all!$B63)</f>
        <v>5</v>
      </c>
      <c r="L63" t="str" cm="1">
        <f t="array" ref="L63">INDEX(military_assets!I:I,mil_ass_all!$B63)</f>
        <v>RUS</v>
      </c>
      <c r="M63" t="str" cm="1">
        <f t="array" ref="M63">INDEX(military_assets!J:J,mil_ass_all!$B63)</f>
        <v>Submarine</v>
      </c>
      <c r="N63" t="str" cm="1">
        <f t="array" ref="N63">INDEX(military_assets!K:K,mil_ass_all!$B63)</f>
        <v>Hidden: Can be played face down. 
Ambush: This asset deals damage during the Ambush Damage Step.
Commerce Raider: When assaulting a player, this military asset's assault is equal to its attack.</v>
      </c>
      <c r="O63" t="str" cm="1">
        <f t="array" ref="O63">INDEX(military_assets!L:L,mil_ass_all!$B63)</f>
        <v>Images/yasen.jpg</v>
      </c>
      <c r="P63" t="str" cm="1">
        <f t="array" ref="P63">INDEX(military_assets!M:M,mil_ass_all!$B63)</f>
        <v>With more than twice the firepower of western submarines, the Yasen is Russia's best effort in no-expense-spared attack submarine development.</v>
      </c>
      <c r="Q63" t="str" cm="1">
        <f t="array" ref="Q63">INDEX(military_assets!N:N,mil_ass_all!$B63)</f>
        <v>0.0.1</v>
      </c>
    </row>
    <row r="64" spans="1:17" x14ac:dyDescent="0.25">
      <c r="A64">
        <v>1</v>
      </c>
      <c r="B64">
        <v>21</v>
      </c>
      <c r="C64" s="3" t="s">
        <v>143</v>
      </c>
      <c r="D64" t="str" cm="1">
        <f t="array" ref="D64">INDEX(military_assets!A:A,mil_ass_all!$B64)</f>
        <v>Yasen Class SSGN</v>
      </c>
      <c r="E64" cm="1">
        <f t="array" ref="E64">INDEX(military_assets!B:B,mil_ass_all!$B64)</f>
        <v>0</v>
      </c>
      <c r="F64" cm="1">
        <f t="array" ref="F64">INDEX(military_assets!C:C,mil_ass_all!$B64)</f>
        <v>0</v>
      </c>
      <c r="G64" cm="1">
        <f t="array" ref="G64">INDEX(military_assets!D:D,mil_ass_all!$B64)</f>
        <v>0</v>
      </c>
      <c r="H64" cm="1">
        <f t="array" ref="H64">INDEX(military_assets!E:E,mil_ass_all!$B64)</f>
        <v>5</v>
      </c>
      <c r="I64" cm="1">
        <f t="array" ref="I64">INDEX(military_assets!F:F,mil_ass_all!$B64)</f>
        <v>0</v>
      </c>
      <c r="J64" cm="1">
        <f t="array" ref="J64">INDEX(military_assets!G:G,mil_ass_all!$B64)</f>
        <v>3</v>
      </c>
      <c r="K64" cm="1">
        <f t="array" ref="K64">INDEX(military_assets!H:H,mil_ass_all!$B64)</f>
        <v>5</v>
      </c>
      <c r="L64" t="str" cm="1">
        <f t="array" ref="L64">INDEX(military_assets!I:I,mil_ass_all!$B64)</f>
        <v>RUS</v>
      </c>
      <c r="M64" t="str" cm="1">
        <f t="array" ref="M64">INDEX(military_assets!J:J,mil_ass_all!$B64)</f>
        <v>Submarine</v>
      </c>
      <c r="N64" t="str" cm="1">
        <f t="array" ref="N64">INDEX(military_assets!K:K,mil_ass_all!$B64)</f>
        <v>Hidden: Can be played face down. 
Ambush: This asset deals damage during the Ambush Damage Step.
Commerce Raider: When assaulting a player, this military asset's assault is equal to its attack.</v>
      </c>
      <c r="O64" t="str" cm="1">
        <f t="array" ref="O64">INDEX(military_assets!L:L,mil_ass_all!$B64)</f>
        <v>Images/yasen.jpg</v>
      </c>
      <c r="P64" t="str" cm="1">
        <f t="array" ref="P64">INDEX(military_assets!M:M,mil_ass_all!$B64)</f>
        <v>With more than twice the firepower of western submarines, the Yasen is Russia's best effort in no-expense-spared attack submarine development.</v>
      </c>
      <c r="Q64" t="str" cm="1">
        <f t="array" ref="Q64">INDEX(military_assets!N:N,mil_ass_all!$B64)</f>
        <v>0.0.1</v>
      </c>
    </row>
    <row r="65" spans="1:17" x14ac:dyDescent="0.25">
      <c r="A65">
        <v>1</v>
      </c>
      <c r="B65">
        <v>23</v>
      </c>
      <c r="C65" s="3" t="s">
        <v>145</v>
      </c>
      <c r="D65" t="str" cm="1">
        <f t="array" ref="D65">INDEX(military_assets!A:A,mil_ass_all!$B65)</f>
        <v>Oscar II Class SSGN</v>
      </c>
      <c r="E65" cm="1">
        <f t="array" ref="E65">INDEX(military_assets!B:B,mil_ass_all!$B65)</f>
        <v>0</v>
      </c>
      <c r="F65" cm="1">
        <f t="array" ref="F65">INDEX(military_assets!C:C,mil_ass_all!$B65)</f>
        <v>0</v>
      </c>
      <c r="G65" cm="1">
        <f t="array" ref="G65">INDEX(military_assets!D:D,mil_ass_all!$B65)</f>
        <v>0</v>
      </c>
      <c r="H65" cm="1">
        <f t="array" ref="H65">INDEX(military_assets!E:E,mil_ass_all!$B65)</f>
        <v>4</v>
      </c>
      <c r="I65" cm="1">
        <f t="array" ref="I65">INDEX(military_assets!F:F,mil_ass_all!$B65)</f>
        <v>0</v>
      </c>
      <c r="J65" cm="1">
        <f t="array" ref="J65">INDEX(military_assets!G:G,mil_ass_all!$B65)</f>
        <v>1</v>
      </c>
      <c r="K65" cm="1">
        <f t="array" ref="K65">INDEX(military_assets!H:H,mil_ass_all!$B65)</f>
        <v>3</v>
      </c>
      <c r="L65" t="str" cm="1">
        <f t="array" ref="L65">INDEX(military_assets!I:I,mil_ass_all!$B65)</f>
        <v>RUS</v>
      </c>
      <c r="M65" t="str" cm="1">
        <f t="array" ref="M65">INDEX(military_assets!J:J,mil_ass_all!$B65)</f>
        <v>Submarine</v>
      </c>
      <c r="N65" t="str" cm="1">
        <f t="array" ref="N65">INDEX(military_assets!K:K,mil_ass_all!$B65)</f>
        <v>Hidden: Can be played face down. 
Ambush: This asset deals damage during the Ambush Damage Step.
Commerce Raider: When assaulting a player, this military asset's assault is equal to its attack.</v>
      </c>
      <c r="O65" t="str" cm="1">
        <f t="array" ref="O65">INDEX(military_assets!L:L,mil_ass_all!$B65)</f>
        <v>Images/oscar2.jpg</v>
      </c>
      <c r="P65" t="str" cm="1">
        <f t="array" ref="P65">INDEX(military_assets!M:M,mil_ass_all!$B65)</f>
        <v>The massive but aging Oscar is a relic of Cold War Soviet strategy. That said, it's large guided missile batteries are still a formidable threat to US carriers.</v>
      </c>
      <c r="Q65" t="str" cm="1">
        <f t="array" ref="Q65">INDEX(military_assets!N:N,mil_ass_all!$B65)</f>
        <v>0.0.1</v>
      </c>
    </row>
    <row r="66" spans="1:17" x14ac:dyDescent="0.25">
      <c r="A66">
        <v>1</v>
      </c>
      <c r="B66">
        <v>23</v>
      </c>
      <c r="C66" s="3" t="s">
        <v>146</v>
      </c>
      <c r="D66" t="str" cm="1">
        <f t="array" ref="D66">INDEX(military_assets!A:A,mil_ass_all!$B66)</f>
        <v>Oscar II Class SSGN</v>
      </c>
      <c r="E66" cm="1">
        <f t="array" ref="E66">INDEX(military_assets!B:B,mil_ass_all!$B66)</f>
        <v>0</v>
      </c>
      <c r="F66" cm="1">
        <f t="array" ref="F66">INDEX(military_assets!C:C,mil_ass_all!$B66)</f>
        <v>0</v>
      </c>
      <c r="G66" cm="1">
        <f t="array" ref="G66">INDEX(military_assets!D:D,mil_ass_all!$B66)</f>
        <v>0</v>
      </c>
      <c r="H66" cm="1">
        <f t="array" ref="H66">INDEX(military_assets!E:E,mil_ass_all!$B66)</f>
        <v>4</v>
      </c>
      <c r="I66" cm="1">
        <f t="array" ref="I66">INDEX(military_assets!F:F,mil_ass_all!$B66)</f>
        <v>0</v>
      </c>
      <c r="J66" cm="1">
        <f t="array" ref="J66">INDEX(military_assets!G:G,mil_ass_all!$B66)</f>
        <v>1</v>
      </c>
      <c r="K66" cm="1">
        <f t="array" ref="K66">INDEX(military_assets!H:H,mil_ass_all!$B66)</f>
        <v>3</v>
      </c>
      <c r="L66" t="str" cm="1">
        <f t="array" ref="L66">INDEX(military_assets!I:I,mil_ass_all!$B66)</f>
        <v>RUS</v>
      </c>
      <c r="M66" t="str" cm="1">
        <f t="array" ref="M66">INDEX(military_assets!J:J,mil_ass_all!$B66)</f>
        <v>Submarine</v>
      </c>
      <c r="N66" t="str" cm="1">
        <f t="array" ref="N66">INDEX(military_assets!K:K,mil_ass_all!$B66)</f>
        <v>Hidden: Can be played face down. 
Ambush: This asset deals damage during the Ambush Damage Step.
Commerce Raider: When assaulting a player, this military asset's assault is equal to its attack.</v>
      </c>
      <c r="O66" t="str" cm="1">
        <f t="array" ref="O66">INDEX(military_assets!L:L,mil_ass_all!$B66)</f>
        <v>Images/oscar2.jpg</v>
      </c>
      <c r="P66" t="str" cm="1">
        <f t="array" ref="P66">INDEX(military_assets!M:M,mil_ass_all!$B66)</f>
        <v>The massive but aging Oscar is a relic of Cold War Soviet strategy. That said, it's large guided missile batteries are still a formidable threat to US carriers.</v>
      </c>
      <c r="Q66" t="str" cm="1">
        <f t="array" ref="Q66">INDEX(military_assets!N:N,mil_ass_all!$B66)</f>
        <v>0.0.1</v>
      </c>
    </row>
    <row r="67" spans="1:17" x14ac:dyDescent="0.25">
      <c r="A67">
        <v>1</v>
      </c>
      <c r="B67">
        <v>23</v>
      </c>
      <c r="C67" s="3" t="s">
        <v>290</v>
      </c>
      <c r="D67" t="str" cm="1">
        <f t="array" ref="D67">INDEX(military_assets!A:A,mil_ass_all!$B67)</f>
        <v>Oscar II Class SSGN</v>
      </c>
      <c r="E67" cm="1">
        <f t="array" ref="E67">INDEX(military_assets!B:B,mil_ass_all!$B67)</f>
        <v>0</v>
      </c>
      <c r="F67" cm="1">
        <f t="array" ref="F67">INDEX(military_assets!C:C,mil_ass_all!$B67)</f>
        <v>0</v>
      </c>
      <c r="G67" cm="1">
        <f t="array" ref="G67">INDEX(military_assets!D:D,mil_ass_all!$B67)</f>
        <v>0</v>
      </c>
      <c r="H67" cm="1">
        <f t="array" ref="H67">INDEX(military_assets!E:E,mil_ass_all!$B67)</f>
        <v>4</v>
      </c>
      <c r="I67" cm="1">
        <f t="array" ref="I67">INDEX(military_assets!F:F,mil_ass_all!$B67)</f>
        <v>0</v>
      </c>
      <c r="J67" cm="1">
        <f t="array" ref="J67">INDEX(military_assets!G:G,mil_ass_all!$B67)</f>
        <v>1</v>
      </c>
      <c r="K67" cm="1">
        <f t="array" ref="K67">INDEX(military_assets!H:H,mil_ass_all!$B67)</f>
        <v>3</v>
      </c>
      <c r="L67" t="str" cm="1">
        <f t="array" ref="L67">INDEX(military_assets!I:I,mil_ass_all!$B67)</f>
        <v>RUS</v>
      </c>
      <c r="M67" t="str" cm="1">
        <f t="array" ref="M67">INDEX(military_assets!J:J,mil_ass_all!$B67)</f>
        <v>Submarine</v>
      </c>
      <c r="N67" t="str" cm="1">
        <f t="array" ref="N67">INDEX(military_assets!K:K,mil_ass_all!$B67)</f>
        <v>Hidden: Can be played face down. 
Ambush: This asset deals damage during the Ambush Damage Step.
Commerce Raider: When assaulting a player, this military asset's assault is equal to its attack.</v>
      </c>
      <c r="O67" t="str" cm="1">
        <f t="array" ref="O67">INDEX(military_assets!L:L,mil_ass_all!$B67)</f>
        <v>Images/oscar2.jpg</v>
      </c>
      <c r="P67" t="str" cm="1">
        <f t="array" ref="P67">INDEX(military_assets!M:M,mil_ass_all!$B67)</f>
        <v>The massive but aging Oscar is a relic of Cold War Soviet strategy. That said, it's large guided missile batteries are still a formidable threat to US carriers.</v>
      </c>
      <c r="Q67" t="str" cm="1">
        <f t="array" ref="Q67">INDEX(military_assets!N:N,mil_ass_all!$B67)</f>
        <v>0.0.1</v>
      </c>
    </row>
    <row r="68" spans="1:17" x14ac:dyDescent="0.25">
      <c r="A68">
        <v>1</v>
      </c>
      <c r="B68">
        <v>23</v>
      </c>
      <c r="C68" s="3" t="s">
        <v>291</v>
      </c>
      <c r="D68" t="str" cm="1">
        <f t="array" ref="D68">INDEX(military_assets!A:A,mil_ass_all!$B68)</f>
        <v>Oscar II Class SSGN</v>
      </c>
      <c r="E68" cm="1">
        <f t="array" ref="E68">INDEX(military_assets!B:B,mil_ass_all!$B68)</f>
        <v>0</v>
      </c>
      <c r="F68" cm="1">
        <f t="array" ref="F68">INDEX(military_assets!C:C,mil_ass_all!$B68)</f>
        <v>0</v>
      </c>
      <c r="G68" cm="1">
        <f t="array" ref="G68">INDEX(military_assets!D:D,mil_ass_all!$B68)</f>
        <v>0</v>
      </c>
      <c r="H68" cm="1">
        <f t="array" ref="H68">INDEX(military_assets!E:E,mil_ass_all!$B68)</f>
        <v>4</v>
      </c>
      <c r="I68" cm="1">
        <f t="array" ref="I68">INDEX(military_assets!F:F,mil_ass_all!$B68)</f>
        <v>0</v>
      </c>
      <c r="J68" cm="1">
        <f t="array" ref="J68">INDEX(military_assets!G:G,mil_ass_all!$B68)</f>
        <v>1</v>
      </c>
      <c r="K68" cm="1">
        <f t="array" ref="K68">INDEX(military_assets!H:H,mil_ass_all!$B68)</f>
        <v>3</v>
      </c>
      <c r="L68" t="str" cm="1">
        <f t="array" ref="L68">INDEX(military_assets!I:I,mil_ass_all!$B68)</f>
        <v>RUS</v>
      </c>
      <c r="M68" t="str" cm="1">
        <f t="array" ref="M68">INDEX(military_assets!J:J,mil_ass_all!$B68)</f>
        <v>Submarine</v>
      </c>
      <c r="N68" t="str" cm="1">
        <f t="array" ref="N68">INDEX(military_assets!K:K,mil_ass_all!$B68)</f>
        <v>Hidden: Can be played face down. 
Ambush: This asset deals damage during the Ambush Damage Step.
Commerce Raider: When assaulting a player, this military asset's assault is equal to its attack.</v>
      </c>
      <c r="O68" t="str" cm="1">
        <f t="array" ref="O68">INDEX(military_assets!L:L,mil_ass_all!$B68)</f>
        <v>Images/oscar2.jpg</v>
      </c>
      <c r="P68" t="str" cm="1">
        <f t="array" ref="P68">INDEX(military_assets!M:M,mil_ass_all!$B68)</f>
        <v>The massive but aging Oscar is a relic of Cold War Soviet strategy. That said, it's large guided missile batteries are still a formidable threat to US carriers.</v>
      </c>
      <c r="Q68" t="str" cm="1">
        <f t="array" ref="Q68">INDEX(military_assets!N:N,mil_ass_all!$B68)</f>
        <v>0.0.1</v>
      </c>
    </row>
    <row r="69" spans="1:17" x14ac:dyDescent="0.25">
      <c r="A69">
        <v>1</v>
      </c>
      <c r="B69">
        <v>27</v>
      </c>
      <c r="C69" s="3" t="s">
        <v>148</v>
      </c>
      <c r="D69" t="str" cm="1">
        <f t="array" ref="D69">INDEX(military_assets!A:A,mil_ass_all!$B69)</f>
        <v>Akula Class SSN</v>
      </c>
      <c r="E69" cm="1">
        <f t="array" ref="E69">INDEX(military_assets!B:B,mil_ass_all!$B69)</f>
        <v>0</v>
      </c>
      <c r="F69" cm="1">
        <f t="array" ref="F69">INDEX(military_assets!C:C,mil_ass_all!$B69)</f>
        <v>0</v>
      </c>
      <c r="G69" cm="1">
        <f t="array" ref="G69">INDEX(military_assets!D:D,mil_ass_all!$B69)</f>
        <v>0</v>
      </c>
      <c r="H69" cm="1">
        <f t="array" ref="H69">INDEX(military_assets!E:E,mil_ass_all!$B69)</f>
        <v>3</v>
      </c>
      <c r="I69" cm="1">
        <f t="array" ref="I69">INDEX(military_assets!F:F,mil_ass_all!$B69)</f>
        <v>0</v>
      </c>
      <c r="J69" cm="1">
        <f t="array" ref="J69">INDEX(military_assets!G:G,mil_ass_all!$B69)</f>
        <v>3</v>
      </c>
      <c r="K69" cm="1">
        <f t="array" ref="K69">INDEX(military_assets!H:H,mil_ass_all!$B69)</f>
        <v>3</v>
      </c>
      <c r="L69" t="str" cm="1">
        <f t="array" ref="L69">INDEX(military_assets!I:I,mil_ass_all!$B69)</f>
        <v>RUS</v>
      </c>
      <c r="M69" t="str" cm="1">
        <f t="array" ref="M69">INDEX(military_assets!J:J,mil_ass_all!$B69)</f>
        <v>Submarine</v>
      </c>
      <c r="N69" t="str" cm="1">
        <f t="array" ref="N69">INDEX(military_assets!K:K,mil_ass_all!$B69)</f>
        <v>Hidden: Can be played face down. 
Ambush: This asset deals damage during the Ambush Damage Step.
Commerce Raider: When assaulting a player, this military asset's assault is equal to its attack.</v>
      </c>
      <c r="O69" t="str" cm="1">
        <f t="array" ref="O69">INDEX(military_assets!L:L,mil_ass_all!$B69)</f>
        <v>Images/akula.jpg</v>
      </c>
      <c r="P69" t="str" cm="1">
        <f t="array" ref="P69">INDEX(military_assets!M:M,mil_ass_all!$B69)</f>
        <v>In Russian, akula means shark</v>
      </c>
      <c r="Q69" t="str" cm="1">
        <f t="array" ref="Q69">INDEX(military_assets!N:N,mil_ass_all!$B69)</f>
        <v>0.0.1</v>
      </c>
    </row>
    <row r="70" spans="1:17" x14ac:dyDescent="0.25">
      <c r="A70">
        <v>1</v>
      </c>
      <c r="B70">
        <v>27</v>
      </c>
      <c r="C70" s="3" t="s">
        <v>147</v>
      </c>
      <c r="D70" t="str" cm="1">
        <f t="array" ref="D70">INDEX(military_assets!A:A,mil_ass_all!$B70)</f>
        <v>Akula Class SSN</v>
      </c>
      <c r="E70" cm="1">
        <f t="array" ref="E70">INDEX(military_assets!B:B,mil_ass_all!$B70)</f>
        <v>0</v>
      </c>
      <c r="F70" cm="1">
        <f t="array" ref="F70">INDEX(military_assets!C:C,mil_ass_all!$B70)</f>
        <v>0</v>
      </c>
      <c r="G70" cm="1">
        <f t="array" ref="G70">INDEX(military_assets!D:D,mil_ass_all!$B70)</f>
        <v>0</v>
      </c>
      <c r="H70" cm="1">
        <f t="array" ref="H70">INDEX(military_assets!E:E,mil_ass_all!$B70)</f>
        <v>3</v>
      </c>
      <c r="I70" cm="1">
        <f t="array" ref="I70">INDEX(military_assets!F:F,mil_ass_all!$B70)</f>
        <v>0</v>
      </c>
      <c r="J70" cm="1">
        <f t="array" ref="J70">INDEX(military_assets!G:G,mil_ass_all!$B70)</f>
        <v>3</v>
      </c>
      <c r="K70" cm="1">
        <f t="array" ref="K70">INDEX(military_assets!H:H,mil_ass_all!$B70)</f>
        <v>3</v>
      </c>
      <c r="L70" t="str" cm="1">
        <f t="array" ref="L70">INDEX(military_assets!I:I,mil_ass_all!$B70)</f>
        <v>RUS</v>
      </c>
      <c r="M70" t="str" cm="1">
        <f t="array" ref="M70">INDEX(military_assets!J:J,mil_ass_all!$B70)</f>
        <v>Submarine</v>
      </c>
      <c r="N70" t="str" cm="1">
        <f t="array" ref="N70">INDEX(military_assets!K:K,mil_ass_all!$B70)</f>
        <v>Hidden: Can be played face down. 
Ambush: This asset deals damage during the Ambush Damage Step.
Commerce Raider: When assaulting a player, this military asset's assault is equal to its attack.</v>
      </c>
      <c r="O70" t="str" cm="1">
        <f t="array" ref="O70">INDEX(military_assets!L:L,mil_ass_all!$B70)</f>
        <v>Images/akula.jpg</v>
      </c>
      <c r="P70" t="str" cm="1">
        <f t="array" ref="P70">INDEX(military_assets!M:M,mil_ass_all!$B70)</f>
        <v>In Russian, akula means shark</v>
      </c>
      <c r="Q70" t="str" cm="1">
        <f t="array" ref="Q70">INDEX(military_assets!N:N,mil_ass_all!$B70)</f>
        <v>0.0.1</v>
      </c>
    </row>
    <row r="71" spans="1:17" ht="14.25" customHeight="1" x14ac:dyDescent="0.25">
      <c r="A71">
        <v>1</v>
      </c>
      <c r="B71">
        <v>27</v>
      </c>
      <c r="C71" s="3" t="s">
        <v>220</v>
      </c>
      <c r="D71" t="str" cm="1">
        <f t="array" ref="D71">INDEX(military_assets!A:A,mil_ass_all!$B71)</f>
        <v>Akula Class SSN</v>
      </c>
      <c r="E71" cm="1">
        <f t="array" ref="E71">INDEX(military_assets!B:B,mil_ass_all!$B71)</f>
        <v>0</v>
      </c>
      <c r="F71" cm="1">
        <f t="array" ref="F71">INDEX(military_assets!C:C,mil_ass_all!$B71)</f>
        <v>0</v>
      </c>
      <c r="G71" cm="1">
        <f t="array" ref="G71">INDEX(military_assets!D:D,mil_ass_all!$B71)</f>
        <v>0</v>
      </c>
      <c r="H71" cm="1">
        <f t="array" ref="H71">INDEX(military_assets!E:E,mil_ass_all!$B71)</f>
        <v>3</v>
      </c>
      <c r="I71" cm="1">
        <f t="array" ref="I71">INDEX(military_assets!F:F,mil_ass_all!$B71)</f>
        <v>0</v>
      </c>
      <c r="J71" cm="1">
        <f t="array" ref="J71">INDEX(military_assets!G:G,mil_ass_all!$B71)</f>
        <v>3</v>
      </c>
      <c r="K71" cm="1">
        <f t="array" ref="K71">INDEX(military_assets!H:H,mil_ass_all!$B71)</f>
        <v>3</v>
      </c>
      <c r="L71" t="str" cm="1">
        <f t="array" ref="L71">INDEX(military_assets!I:I,mil_ass_all!$B71)</f>
        <v>RUS</v>
      </c>
      <c r="M71" t="str" cm="1">
        <f t="array" ref="M71">INDEX(military_assets!J:J,mil_ass_all!$B71)</f>
        <v>Submarine</v>
      </c>
      <c r="N71" t="str" cm="1">
        <f t="array" ref="N71">INDEX(military_assets!K:K,mil_ass_all!$B71)</f>
        <v>Hidden: Can be played face down. 
Ambush: This asset deals damage during the Ambush Damage Step.
Commerce Raider: When assaulting a player, this military asset's assault is equal to its attack.</v>
      </c>
      <c r="O71" t="str" cm="1">
        <f t="array" ref="O71">INDEX(military_assets!L:L,mil_ass_all!$B71)</f>
        <v>Images/akula.jpg</v>
      </c>
      <c r="P71" t="str" cm="1">
        <f t="array" ref="P71">INDEX(military_assets!M:M,mil_ass_all!$B71)</f>
        <v>In Russian, akula means shark</v>
      </c>
      <c r="Q71" t="str" cm="1">
        <f t="array" ref="Q71">INDEX(military_assets!N:N,mil_ass_all!$B71)</f>
        <v>0.0.1</v>
      </c>
    </row>
    <row r="72" spans="1:17" x14ac:dyDescent="0.25">
      <c r="A72">
        <v>1</v>
      </c>
      <c r="B72">
        <v>27</v>
      </c>
      <c r="C72" s="3" t="s">
        <v>292</v>
      </c>
      <c r="D72" t="str" cm="1">
        <f t="array" ref="D72">INDEX(military_assets!A:A,mil_ass_all!$B72)</f>
        <v>Akula Class SSN</v>
      </c>
      <c r="E72" cm="1">
        <f t="array" ref="E72">INDEX(military_assets!B:B,mil_ass_all!$B72)</f>
        <v>0</v>
      </c>
      <c r="F72" cm="1">
        <f t="array" ref="F72">INDEX(military_assets!C:C,mil_ass_all!$B72)</f>
        <v>0</v>
      </c>
      <c r="G72" cm="1">
        <f t="array" ref="G72">INDEX(military_assets!D:D,mil_ass_all!$B72)</f>
        <v>0</v>
      </c>
      <c r="H72" cm="1">
        <f t="array" ref="H72">INDEX(military_assets!E:E,mil_ass_all!$B72)</f>
        <v>3</v>
      </c>
      <c r="I72" cm="1">
        <f t="array" ref="I72">INDEX(military_assets!F:F,mil_ass_all!$B72)</f>
        <v>0</v>
      </c>
      <c r="J72" cm="1">
        <f t="array" ref="J72">INDEX(military_assets!G:G,mil_ass_all!$B72)</f>
        <v>3</v>
      </c>
      <c r="K72" cm="1">
        <f t="array" ref="K72">INDEX(military_assets!H:H,mil_ass_all!$B72)</f>
        <v>3</v>
      </c>
      <c r="L72" t="str" cm="1">
        <f t="array" ref="L72">INDEX(military_assets!I:I,mil_ass_all!$B72)</f>
        <v>RUS</v>
      </c>
      <c r="M72" t="str" cm="1">
        <f t="array" ref="M72">INDEX(military_assets!J:J,mil_ass_all!$B72)</f>
        <v>Submarine</v>
      </c>
      <c r="N72" t="str" cm="1">
        <f t="array" ref="N72">INDEX(military_assets!K:K,mil_ass_all!$B72)</f>
        <v>Hidden: Can be played face down. 
Ambush: This asset deals damage during the Ambush Damage Step.
Commerce Raider: When assaulting a player, this military asset's assault is equal to its attack.</v>
      </c>
      <c r="O72" t="str" cm="1">
        <f t="array" ref="O72">INDEX(military_assets!L:L,mil_ass_all!$B72)</f>
        <v>Images/akula.jpg</v>
      </c>
      <c r="P72" t="str" cm="1">
        <f t="array" ref="P72">INDEX(military_assets!M:M,mil_ass_all!$B72)</f>
        <v>In Russian, akula means shark</v>
      </c>
      <c r="Q72" t="str" cm="1">
        <f t="array" ref="Q72">INDEX(military_assets!N:N,mil_ass_all!$B72)</f>
        <v>0.0.1</v>
      </c>
    </row>
    <row r="73" spans="1:17" x14ac:dyDescent="0.25">
      <c r="A73">
        <v>1</v>
      </c>
      <c r="B73">
        <v>27</v>
      </c>
      <c r="C73" s="3" t="s">
        <v>293</v>
      </c>
      <c r="D73" t="str" cm="1">
        <f t="array" ref="D73">INDEX(military_assets!A:A,mil_ass_all!$B73)</f>
        <v>Akula Class SSN</v>
      </c>
      <c r="E73" cm="1">
        <f t="array" ref="E73">INDEX(military_assets!B:B,mil_ass_all!$B73)</f>
        <v>0</v>
      </c>
      <c r="F73" cm="1">
        <f t="array" ref="F73">INDEX(military_assets!C:C,mil_ass_all!$B73)</f>
        <v>0</v>
      </c>
      <c r="G73" cm="1">
        <f t="array" ref="G73">INDEX(military_assets!D:D,mil_ass_all!$B73)</f>
        <v>0</v>
      </c>
      <c r="H73" cm="1">
        <f t="array" ref="H73">INDEX(military_assets!E:E,mil_ass_all!$B73)</f>
        <v>3</v>
      </c>
      <c r="I73" cm="1">
        <f t="array" ref="I73">INDEX(military_assets!F:F,mil_ass_all!$B73)</f>
        <v>0</v>
      </c>
      <c r="J73" cm="1">
        <f t="array" ref="J73">INDEX(military_assets!G:G,mil_ass_all!$B73)</f>
        <v>3</v>
      </c>
      <c r="K73" cm="1">
        <f t="array" ref="K73">INDEX(military_assets!H:H,mil_ass_all!$B73)</f>
        <v>3</v>
      </c>
      <c r="L73" t="str" cm="1">
        <f t="array" ref="L73">INDEX(military_assets!I:I,mil_ass_all!$B73)</f>
        <v>RUS</v>
      </c>
      <c r="M73" t="str" cm="1">
        <f t="array" ref="M73">INDEX(military_assets!J:J,mil_ass_all!$B73)</f>
        <v>Submarine</v>
      </c>
      <c r="N73" t="str" cm="1">
        <f t="array" ref="N73">INDEX(military_assets!K:K,mil_ass_all!$B73)</f>
        <v>Hidden: Can be played face down. 
Ambush: This asset deals damage during the Ambush Damage Step.
Commerce Raider: When assaulting a player, this military asset's assault is equal to its attack.</v>
      </c>
      <c r="O73" t="str" cm="1">
        <f t="array" ref="O73">INDEX(military_assets!L:L,mil_ass_all!$B73)</f>
        <v>Images/akula.jpg</v>
      </c>
      <c r="P73" t="str" cm="1">
        <f t="array" ref="P73">INDEX(military_assets!M:M,mil_ass_all!$B73)</f>
        <v>In Russian, akula means shark</v>
      </c>
      <c r="Q73" t="str" cm="1">
        <f t="array" ref="Q73">INDEX(military_assets!N:N,mil_ass_all!$B73)</f>
        <v>0.0.1</v>
      </c>
    </row>
    <row r="74" spans="1:17" ht="14.25" customHeight="1" x14ac:dyDescent="0.25">
      <c r="A74">
        <v>1</v>
      </c>
      <c r="B74">
        <v>27</v>
      </c>
      <c r="C74" s="3" t="s">
        <v>315</v>
      </c>
      <c r="D74" t="str" cm="1">
        <f t="array" ref="D74">INDEX(military_assets!A:A,mil_ass_all!$B74)</f>
        <v>Akula Class SSN</v>
      </c>
      <c r="E74" cm="1">
        <f t="array" ref="E74">INDEX(military_assets!B:B,mil_ass_all!$B74)</f>
        <v>0</v>
      </c>
      <c r="F74" cm="1">
        <f t="array" ref="F74">INDEX(military_assets!C:C,mil_ass_all!$B74)</f>
        <v>0</v>
      </c>
      <c r="G74" cm="1">
        <f t="array" ref="G74">INDEX(military_assets!D:D,mil_ass_all!$B74)</f>
        <v>0</v>
      </c>
      <c r="H74" cm="1">
        <f t="array" ref="H74">INDEX(military_assets!E:E,mil_ass_all!$B74)</f>
        <v>3</v>
      </c>
      <c r="I74" cm="1">
        <f t="array" ref="I74">INDEX(military_assets!F:F,mil_ass_all!$B74)</f>
        <v>0</v>
      </c>
      <c r="J74" cm="1">
        <f t="array" ref="J74">INDEX(military_assets!G:G,mil_ass_all!$B74)</f>
        <v>3</v>
      </c>
      <c r="K74" cm="1">
        <f t="array" ref="K74">INDEX(military_assets!H:H,mil_ass_all!$B74)</f>
        <v>3</v>
      </c>
      <c r="L74" t="str" cm="1">
        <f t="array" ref="L74">INDEX(military_assets!I:I,mil_ass_all!$B74)</f>
        <v>RUS</v>
      </c>
      <c r="M74" t="str" cm="1">
        <f t="array" ref="M74">INDEX(military_assets!J:J,mil_ass_all!$B74)</f>
        <v>Submarine</v>
      </c>
      <c r="N74" t="str" cm="1">
        <f t="array" ref="N74">INDEX(military_assets!K:K,mil_ass_all!$B74)</f>
        <v>Hidden: Can be played face down. 
Ambush: This asset deals damage during the Ambush Damage Step.
Commerce Raider: When assaulting a player, this military asset's assault is equal to its attack.</v>
      </c>
      <c r="O74" t="str" cm="1">
        <f t="array" ref="O74">INDEX(military_assets!L:L,mil_ass_all!$B74)</f>
        <v>Images/akula.jpg</v>
      </c>
      <c r="P74" t="str" cm="1">
        <f t="array" ref="P74">INDEX(military_assets!M:M,mil_ass_all!$B74)</f>
        <v>In Russian, akula means shark</v>
      </c>
      <c r="Q74" t="str" cm="1">
        <f t="array" ref="Q74">INDEX(military_assets!N:N,mil_ass_all!$B74)</f>
        <v>0.0.1</v>
      </c>
    </row>
    <row r="75" spans="1:17" x14ac:dyDescent="0.25">
      <c r="A75">
        <v>1</v>
      </c>
      <c r="B75">
        <v>26</v>
      </c>
      <c r="C75" s="2" t="s">
        <v>218</v>
      </c>
      <c r="D75" t="str" cm="1">
        <f t="array" ref="D75">INDEX(military_assets!A:A,mil_ass_all!$B75)</f>
        <v>Victor III Class SSN</v>
      </c>
      <c r="E75" cm="1">
        <f t="array" ref="E75">INDEX(military_assets!B:B,mil_ass_all!$B75)</f>
        <v>0</v>
      </c>
      <c r="F75" cm="1">
        <f t="array" ref="F75">INDEX(military_assets!C:C,mil_ass_all!$B75)</f>
        <v>0</v>
      </c>
      <c r="G75" cm="1">
        <f t="array" ref="G75">INDEX(military_assets!D:D,mil_ass_all!$B75)</f>
        <v>0</v>
      </c>
      <c r="H75" cm="1">
        <f t="array" ref="H75">INDEX(military_assets!E:E,mil_ass_all!$B75)</f>
        <v>2</v>
      </c>
      <c r="I75" cm="1">
        <f t="array" ref="I75">INDEX(military_assets!F:F,mil_ass_all!$B75)</f>
        <v>0</v>
      </c>
      <c r="J75" cm="1">
        <f t="array" ref="J75">INDEX(military_assets!G:G,mil_ass_all!$B75)</f>
        <v>1</v>
      </c>
      <c r="K75" cm="1">
        <f t="array" ref="K75">INDEX(military_assets!H:H,mil_ass_all!$B75)</f>
        <v>1</v>
      </c>
      <c r="L75" t="str" cm="1">
        <f t="array" ref="L75">INDEX(military_assets!I:I,mil_ass_all!$B75)</f>
        <v>RUS</v>
      </c>
      <c r="M75" t="str" cm="1">
        <f t="array" ref="M75">INDEX(military_assets!J:J,mil_ass_all!$B75)</f>
        <v>Submarine</v>
      </c>
      <c r="N75" t="str" cm="1">
        <f t="array" ref="N75">INDEX(military_assets!K:K,mil_ass_all!$B75)</f>
        <v>Hidden: Can be played face down. 
Ambush: This asset deals damage during the Ambush Damage Step.
Commerce Raider: When assaulting a player, this military asset's assault is equal to its attack.</v>
      </c>
      <c r="O75" t="str" cm="1">
        <f t="array" ref="O75">INDEX(military_assets!L:L,mil_ass_all!$B75)</f>
        <v>Images/victor2.jpg</v>
      </c>
      <c r="P75" t="str" cm="1">
        <f t="array" ref="P75">INDEX(military_assets!M:M,mil_ass_all!$B75)</f>
        <v>Nothing fancy, but it ain't bad for government work.</v>
      </c>
      <c r="Q75" t="str" cm="1">
        <f t="array" ref="Q75">INDEX(military_assets!N:N,mil_ass_all!$B75)</f>
        <v>0.0.1</v>
      </c>
    </row>
    <row r="76" spans="1:17" x14ac:dyDescent="0.25">
      <c r="A76">
        <v>1</v>
      </c>
      <c r="B76">
        <v>26</v>
      </c>
      <c r="C76" s="3" t="s">
        <v>219</v>
      </c>
      <c r="D76" t="str" cm="1">
        <f t="array" ref="D76">INDEX(military_assets!A:A,mil_ass_all!$B76)</f>
        <v>Victor III Class SSN</v>
      </c>
      <c r="E76" cm="1">
        <f t="array" ref="E76">INDEX(military_assets!B:B,mil_ass_all!$B76)</f>
        <v>0</v>
      </c>
      <c r="F76" cm="1">
        <f t="array" ref="F76">INDEX(military_assets!C:C,mil_ass_all!$B76)</f>
        <v>0</v>
      </c>
      <c r="G76" cm="1">
        <f t="array" ref="G76">INDEX(military_assets!D:D,mil_ass_all!$B76)</f>
        <v>0</v>
      </c>
      <c r="H76" cm="1">
        <f t="array" ref="H76">INDEX(military_assets!E:E,mil_ass_all!$B76)</f>
        <v>2</v>
      </c>
      <c r="I76" cm="1">
        <f t="array" ref="I76">INDEX(military_assets!F:F,mil_ass_all!$B76)</f>
        <v>0</v>
      </c>
      <c r="J76" cm="1">
        <f t="array" ref="J76">INDEX(military_assets!G:G,mil_ass_all!$B76)</f>
        <v>1</v>
      </c>
      <c r="K76" cm="1">
        <f t="array" ref="K76">INDEX(military_assets!H:H,mil_ass_all!$B76)</f>
        <v>1</v>
      </c>
      <c r="L76" t="str" cm="1">
        <f t="array" ref="L76">INDEX(military_assets!I:I,mil_ass_all!$B76)</f>
        <v>RUS</v>
      </c>
      <c r="M76" t="str" cm="1">
        <f t="array" ref="M76">INDEX(military_assets!J:J,mil_ass_all!$B76)</f>
        <v>Submarine</v>
      </c>
      <c r="N76" t="str" cm="1">
        <f t="array" ref="N76">INDEX(military_assets!K:K,mil_ass_all!$B76)</f>
        <v>Hidden: Can be played face down. 
Ambush: This asset deals damage during the Ambush Damage Step.
Commerce Raider: When assaulting a player, this military asset's assault is equal to its attack.</v>
      </c>
      <c r="O76" t="str" cm="1">
        <f t="array" ref="O76">INDEX(military_assets!L:L,mil_ass_all!$B76)</f>
        <v>Images/victor2.jpg</v>
      </c>
      <c r="P76" t="str" cm="1">
        <f t="array" ref="P76">INDEX(military_assets!M:M,mil_ass_all!$B76)</f>
        <v>Nothing fancy, but it ain't bad for government work.</v>
      </c>
      <c r="Q76" t="str" cm="1">
        <f t="array" ref="Q76">INDEX(military_assets!N:N,mil_ass_all!$B76)</f>
        <v>0.0.1</v>
      </c>
    </row>
    <row r="77" spans="1:17" x14ac:dyDescent="0.25">
      <c r="A77">
        <v>1</v>
      </c>
      <c r="B77">
        <v>26</v>
      </c>
      <c r="C77" s="2" t="s">
        <v>294</v>
      </c>
      <c r="D77" t="str" cm="1">
        <f t="array" ref="D77">INDEX(military_assets!A:A,mil_ass_all!$B77)</f>
        <v>Victor III Class SSN</v>
      </c>
      <c r="E77" cm="1">
        <f t="array" ref="E77">INDEX(military_assets!B:B,mil_ass_all!$B77)</f>
        <v>0</v>
      </c>
      <c r="F77" cm="1">
        <f t="array" ref="F77">INDEX(military_assets!C:C,mil_ass_all!$B77)</f>
        <v>0</v>
      </c>
      <c r="G77" cm="1">
        <f t="array" ref="G77">INDEX(military_assets!D:D,mil_ass_all!$B77)</f>
        <v>0</v>
      </c>
      <c r="H77" cm="1">
        <f t="array" ref="H77">INDEX(military_assets!E:E,mil_ass_all!$B77)</f>
        <v>2</v>
      </c>
      <c r="I77" cm="1">
        <f t="array" ref="I77">INDEX(military_assets!F:F,mil_ass_all!$B77)</f>
        <v>0</v>
      </c>
      <c r="J77" cm="1">
        <f t="array" ref="J77">INDEX(military_assets!G:G,mil_ass_all!$B77)</f>
        <v>1</v>
      </c>
      <c r="K77" cm="1">
        <f t="array" ref="K77">INDEX(military_assets!H:H,mil_ass_all!$B77)</f>
        <v>1</v>
      </c>
      <c r="L77" t="str" cm="1">
        <f t="array" ref="L77">INDEX(military_assets!I:I,mil_ass_all!$B77)</f>
        <v>RUS</v>
      </c>
      <c r="M77" t="str" cm="1">
        <f t="array" ref="M77">INDEX(military_assets!J:J,mil_ass_all!$B77)</f>
        <v>Submarine</v>
      </c>
      <c r="N77" t="str" cm="1">
        <f t="array" ref="N77">INDEX(military_assets!K:K,mil_ass_all!$B77)</f>
        <v>Hidden: Can be played face down. 
Ambush: This asset deals damage during the Ambush Damage Step.
Commerce Raider: When assaulting a player, this military asset's assault is equal to its attack.</v>
      </c>
      <c r="O77" t="str" cm="1">
        <f t="array" ref="O77">INDEX(military_assets!L:L,mil_ass_all!$B77)</f>
        <v>Images/victor2.jpg</v>
      </c>
      <c r="P77" t="str" cm="1">
        <f t="array" ref="P77">INDEX(military_assets!M:M,mil_ass_all!$B77)</f>
        <v>Nothing fancy, but it ain't bad for government work.</v>
      </c>
      <c r="Q77" t="str" cm="1">
        <f t="array" ref="Q77">INDEX(military_assets!N:N,mil_ass_all!$B77)</f>
        <v>0.0.1</v>
      </c>
    </row>
    <row r="78" spans="1:17" x14ac:dyDescent="0.25">
      <c r="A78">
        <v>1</v>
      </c>
      <c r="B78">
        <v>26</v>
      </c>
      <c r="C78" s="3" t="s">
        <v>295</v>
      </c>
      <c r="D78" t="str" cm="1">
        <f t="array" ref="D78">INDEX(military_assets!A:A,mil_ass_all!$B78)</f>
        <v>Victor III Class SSN</v>
      </c>
      <c r="E78" cm="1">
        <f t="array" ref="E78">INDEX(military_assets!B:B,mil_ass_all!$B78)</f>
        <v>0</v>
      </c>
      <c r="F78" cm="1">
        <f t="array" ref="F78">INDEX(military_assets!C:C,mil_ass_all!$B78)</f>
        <v>0</v>
      </c>
      <c r="G78" cm="1">
        <f t="array" ref="G78">INDEX(military_assets!D:D,mil_ass_all!$B78)</f>
        <v>0</v>
      </c>
      <c r="H78" cm="1">
        <f t="array" ref="H78">INDEX(military_assets!E:E,mil_ass_all!$B78)</f>
        <v>2</v>
      </c>
      <c r="I78" cm="1">
        <f t="array" ref="I78">INDEX(military_assets!F:F,mil_ass_all!$B78)</f>
        <v>0</v>
      </c>
      <c r="J78" cm="1">
        <f t="array" ref="J78">INDEX(military_assets!G:G,mil_ass_all!$B78)</f>
        <v>1</v>
      </c>
      <c r="K78" cm="1">
        <f t="array" ref="K78">INDEX(military_assets!H:H,mil_ass_all!$B78)</f>
        <v>1</v>
      </c>
      <c r="L78" t="str" cm="1">
        <f t="array" ref="L78">INDEX(military_assets!I:I,mil_ass_all!$B78)</f>
        <v>RUS</v>
      </c>
      <c r="M78" t="str" cm="1">
        <f t="array" ref="M78">INDEX(military_assets!J:J,mil_ass_all!$B78)</f>
        <v>Submarine</v>
      </c>
      <c r="N78" t="str" cm="1">
        <f t="array" ref="N78">INDEX(military_assets!K:K,mil_ass_all!$B78)</f>
        <v>Hidden: Can be played face down. 
Ambush: This asset deals damage during the Ambush Damage Step.
Commerce Raider: When assaulting a player, this military asset's assault is equal to its attack.</v>
      </c>
      <c r="O78" t="str" cm="1">
        <f t="array" ref="O78">INDEX(military_assets!L:L,mil_ass_all!$B78)</f>
        <v>Images/victor2.jpg</v>
      </c>
      <c r="P78" t="str" cm="1">
        <f t="array" ref="P78">INDEX(military_assets!M:M,mil_ass_all!$B78)</f>
        <v>Nothing fancy, but it ain't bad for government work.</v>
      </c>
      <c r="Q78" t="str" cm="1">
        <f t="array" ref="Q78">INDEX(military_assets!N:N,mil_ass_all!$B78)</f>
        <v>0.0.1</v>
      </c>
    </row>
    <row r="79" spans="1:17" x14ac:dyDescent="0.25">
      <c r="A79">
        <v>1</v>
      </c>
      <c r="B79">
        <v>22</v>
      </c>
      <c r="C79" s="3" t="s">
        <v>144</v>
      </c>
      <c r="D79" t="str" cm="1">
        <f t="array" ref="D79">INDEX(military_assets!A:A,mil_ass_all!$B79)</f>
        <v>Lada Class SSK</v>
      </c>
      <c r="E79" cm="1">
        <f t="array" ref="E79">INDEX(military_assets!B:B,mil_ass_all!$B79)</f>
        <v>0</v>
      </c>
      <c r="F79" cm="1">
        <f t="array" ref="F79">INDEX(military_assets!C:C,mil_ass_all!$B79)</f>
        <v>0</v>
      </c>
      <c r="G79" cm="1">
        <f t="array" ref="G79">INDEX(military_assets!D:D,mil_ass_all!$B79)</f>
        <v>0</v>
      </c>
      <c r="H79" cm="1">
        <f t="array" ref="H79">INDEX(military_assets!E:E,mil_ass_all!$B79)</f>
        <v>3</v>
      </c>
      <c r="I79" cm="1">
        <f t="array" ref="I79">INDEX(military_assets!F:F,mil_ass_all!$B79)</f>
        <v>0</v>
      </c>
      <c r="J79" cm="1">
        <f t="array" ref="J79">INDEX(military_assets!G:G,mil_ass_all!$B79)</f>
        <v>2</v>
      </c>
      <c r="K79" cm="1">
        <f t="array" ref="K79">INDEX(military_assets!H:H,mil_ass_all!$B79)</f>
        <v>2</v>
      </c>
      <c r="L79" t="str" cm="1">
        <f t="array" ref="L79">INDEX(military_assets!I:I,mil_ass_all!$B79)</f>
        <v>RUS</v>
      </c>
      <c r="M79" t="str" cm="1">
        <f t="array" ref="M79">INDEX(military_assets!J:J,mil_ass_all!$B79)</f>
        <v>Submarine</v>
      </c>
      <c r="N79" t="str" cm="1">
        <f t="array" ref="N79">INDEX(military_assets!K:K,mil_ass_all!$B79)</f>
        <v>Hidden: Can be played face down. 
Ambush: This asset deals damage during the Ambush Damage Step.
Coastal Defender: Cannot be declared as an attacker.</v>
      </c>
      <c r="O79" t="str" cm="1">
        <f t="array" ref="O79">INDEX(military_assets!L:L,mil_ass_all!$B79)</f>
        <v>Images/lada.jpg</v>
      </c>
      <c r="P79" t="str" cm="1">
        <f t="array" ref="P79">INDEX(military_assets!M:M,mil_ass_all!$B79)</f>
        <v>Although shorter-ranged than nuclear attack submarines, diesel-electric attack submarines are smaller, quieter and nearly as well armed.</v>
      </c>
      <c r="Q79" t="str" cm="1">
        <f t="array" ref="Q79">INDEX(military_assets!N:N,mil_ass_all!$B79)</f>
        <v>0.0.1</v>
      </c>
    </row>
    <row r="80" spans="1:17" x14ac:dyDescent="0.25">
      <c r="A80">
        <v>1</v>
      </c>
      <c r="B80">
        <v>22</v>
      </c>
      <c r="C80" s="3" t="s">
        <v>53</v>
      </c>
      <c r="D80" t="str" cm="1">
        <f t="array" ref="D80">INDEX(military_assets!A:A,mil_ass_all!$B80)</f>
        <v>Lada Class SSK</v>
      </c>
      <c r="E80" cm="1">
        <f t="array" ref="E80">INDEX(military_assets!B:B,mil_ass_all!$B80)</f>
        <v>0</v>
      </c>
      <c r="F80" cm="1">
        <f t="array" ref="F80">INDEX(military_assets!C:C,mil_ass_all!$B80)</f>
        <v>0</v>
      </c>
      <c r="G80" cm="1">
        <f t="array" ref="G80">INDEX(military_assets!D:D,mil_ass_all!$B80)</f>
        <v>0</v>
      </c>
      <c r="H80" cm="1">
        <f t="array" ref="H80">INDEX(military_assets!E:E,mil_ass_all!$B80)</f>
        <v>3</v>
      </c>
      <c r="I80" cm="1">
        <f t="array" ref="I80">INDEX(military_assets!F:F,mil_ass_all!$B80)</f>
        <v>0</v>
      </c>
      <c r="J80" cm="1">
        <f t="array" ref="J80">INDEX(military_assets!G:G,mil_ass_all!$B80)</f>
        <v>2</v>
      </c>
      <c r="K80" cm="1">
        <f t="array" ref="K80">INDEX(military_assets!H:H,mil_ass_all!$B80)</f>
        <v>2</v>
      </c>
      <c r="L80" t="str" cm="1">
        <f t="array" ref="L80">INDEX(military_assets!I:I,mil_ass_all!$B80)</f>
        <v>RUS</v>
      </c>
      <c r="M80" t="str" cm="1">
        <f t="array" ref="M80">INDEX(military_assets!J:J,mil_ass_all!$B80)</f>
        <v>Submarine</v>
      </c>
      <c r="N80" t="str" cm="1">
        <f t="array" ref="N80">INDEX(military_assets!K:K,mil_ass_all!$B80)</f>
        <v>Hidden: Can be played face down. 
Ambush: This asset deals damage during the Ambush Damage Step.
Coastal Defender: Cannot be declared as an attacker.</v>
      </c>
      <c r="O80" t="str" cm="1">
        <f t="array" ref="O80">INDEX(military_assets!L:L,mil_ass_all!$B80)</f>
        <v>Images/lada.jpg</v>
      </c>
      <c r="P80" t="str" cm="1">
        <f t="array" ref="P80">INDEX(military_assets!M:M,mil_ass_all!$B80)</f>
        <v>Although shorter-ranged than nuclear attack submarines, diesel-electric attack submarines are smaller, quieter and nearly as well armed.</v>
      </c>
      <c r="Q80" t="str" cm="1">
        <f t="array" ref="Q80">INDEX(military_assets!N:N,mil_ass_all!$B80)</f>
        <v>0.0.1</v>
      </c>
    </row>
    <row r="81" spans="1:17" x14ac:dyDescent="0.25">
      <c r="A81">
        <v>1</v>
      </c>
      <c r="B81">
        <v>24</v>
      </c>
      <c r="C81" s="3" t="s">
        <v>296</v>
      </c>
      <c r="D81" t="str" cm="1">
        <f t="array" ref="D81">INDEX(military_assets!A:A,mil_ass_all!$B81)</f>
        <v>Mig-29K Fulcrum-D</v>
      </c>
      <c r="E81" cm="1">
        <f t="array" ref="E81">INDEX(military_assets!B:B,mil_ass_all!$B81)</f>
        <v>0</v>
      </c>
      <c r="F81" cm="1">
        <f t="array" ref="F81">INDEX(military_assets!C:C,mil_ass_all!$B81)</f>
        <v>0</v>
      </c>
      <c r="G81" cm="1">
        <f t="array" ref="G81">INDEX(military_assets!D:D,mil_ass_all!$B81)</f>
        <v>0</v>
      </c>
      <c r="H81" cm="1">
        <f t="array" ref="H81">INDEX(military_assets!E:E,mil_ass_all!$B81)</f>
        <v>4</v>
      </c>
      <c r="I81" cm="1">
        <f t="array" ref="I81">INDEX(military_assets!F:F,mil_ass_all!$B81)</f>
        <v>3</v>
      </c>
      <c r="J81" cm="1">
        <f t="array" ref="J81">INDEX(military_assets!G:G,mil_ass_all!$B81)</f>
        <v>3</v>
      </c>
      <c r="K81" cm="1">
        <f t="array" ref="K81">INDEX(military_assets!H:H,mil_ass_all!$B81)</f>
        <v>1</v>
      </c>
      <c r="L81" t="str" cm="1">
        <f t="array" ref="L81">INDEX(military_assets!I:I,mil_ass_all!$B81)</f>
        <v>RUS</v>
      </c>
      <c r="M81" t="str" cm="1">
        <f t="array" ref="M81">INDEX(military_assets!J:J,mil_ass_all!$B81)</f>
        <v>Squadron</v>
      </c>
      <c r="N81" t="str" cm="1">
        <f t="array" ref="N81">INDEX(military_assets!K:K,mil_ass_all!$B81)</f>
        <v>Hidden: Can be played face down. 
STOBAR-Compatible.</v>
      </c>
      <c r="O81" t="str" cm="1">
        <f t="array" ref="O81">INDEX(military_assets!L:L,mil_ass_all!$B81)</f>
        <v>Images/mig29k.jpg</v>
      </c>
      <c r="P81" t="str" cm="1">
        <f t="array" ref="P81">INDEX(military_assets!M:M,mil_ass_all!$B81)</f>
        <v>With a $15M unit cost conceivably affordable by even second-tier NBA starters, the Mig-29K is proof that performance and price are not always at odds.</v>
      </c>
      <c r="Q81" t="str" cm="1">
        <f t="array" ref="Q81">INDEX(military_assets!N:N,mil_ass_all!$B81)</f>
        <v>0.0.1</v>
      </c>
    </row>
    <row r="82" spans="1:17" x14ac:dyDescent="0.25">
      <c r="A82">
        <v>1</v>
      </c>
      <c r="B82">
        <v>24</v>
      </c>
      <c r="C82" s="3" t="s">
        <v>297</v>
      </c>
      <c r="D82" t="str" cm="1">
        <f t="array" ref="D82">INDEX(military_assets!A:A,mil_ass_all!$B82)</f>
        <v>Mig-29K Fulcrum-D</v>
      </c>
      <c r="E82" cm="1">
        <f t="array" ref="E82">INDEX(military_assets!B:B,mil_ass_all!$B82)</f>
        <v>0</v>
      </c>
      <c r="F82" cm="1">
        <f t="array" ref="F82">INDEX(military_assets!C:C,mil_ass_all!$B82)</f>
        <v>0</v>
      </c>
      <c r="G82" cm="1">
        <f t="array" ref="G82">INDEX(military_assets!D:D,mil_ass_all!$B82)</f>
        <v>0</v>
      </c>
      <c r="H82" cm="1">
        <f t="array" ref="H82">INDEX(military_assets!E:E,mil_ass_all!$B82)</f>
        <v>4</v>
      </c>
      <c r="I82" cm="1">
        <f t="array" ref="I82">INDEX(military_assets!F:F,mil_ass_all!$B82)</f>
        <v>3</v>
      </c>
      <c r="J82" cm="1">
        <f t="array" ref="J82">INDEX(military_assets!G:G,mil_ass_all!$B82)</f>
        <v>3</v>
      </c>
      <c r="K82" cm="1">
        <f t="array" ref="K82">INDEX(military_assets!H:H,mil_ass_all!$B82)</f>
        <v>1</v>
      </c>
      <c r="L82" t="str" cm="1">
        <f t="array" ref="L82">INDEX(military_assets!I:I,mil_ass_all!$B82)</f>
        <v>RUS</v>
      </c>
      <c r="M82" t="str" cm="1">
        <f t="array" ref="M82">INDEX(military_assets!J:J,mil_ass_all!$B82)</f>
        <v>Squadron</v>
      </c>
      <c r="N82" t="str" cm="1">
        <f t="array" ref="N82">INDEX(military_assets!K:K,mil_ass_all!$B82)</f>
        <v>Hidden: Can be played face down. 
STOBAR-Compatible.</v>
      </c>
      <c r="O82" t="str" cm="1">
        <f t="array" ref="O82">INDEX(military_assets!L:L,mil_ass_all!$B82)</f>
        <v>Images/mig29k.jpg</v>
      </c>
      <c r="P82" t="str" cm="1">
        <f t="array" ref="P82">INDEX(military_assets!M:M,mil_ass_all!$B82)</f>
        <v>With a $15M unit cost conceivably affordable by even second-tier NBA starters, the Mig-29K is proof that performance and price are not always at odds.</v>
      </c>
      <c r="Q82" t="str" cm="1">
        <f t="array" ref="Q82">INDEX(military_assets!N:N,mil_ass_all!$B82)</f>
        <v>0.0.1</v>
      </c>
    </row>
    <row r="83" spans="1:17" x14ac:dyDescent="0.25">
      <c r="A83">
        <v>1</v>
      </c>
      <c r="B83">
        <v>24</v>
      </c>
      <c r="C83" s="2" t="s">
        <v>298</v>
      </c>
      <c r="D83" t="str" cm="1">
        <f t="array" ref="D83">INDEX(military_assets!A:A,mil_ass_all!$B83)</f>
        <v>Mig-29K Fulcrum-D</v>
      </c>
      <c r="E83" cm="1">
        <f t="array" ref="E83">INDEX(military_assets!B:B,mil_ass_all!$B83)</f>
        <v>0</v>
      </c>
      <c r="F83" cm="1">
        <f t="array" ref="F83">INDEX(military_assets!C:C,mil_ass_all!$B83)</f>
        <v>0</v>
      </c>
      <c r="G83" cm="1">
        <f t="array" ref="G83">INDEX(military_assets!D:D,mil_ass_all!$B83)</f>
        <v>0</v>
      </c>
      <c r="H83" cm="1">
        <f t="array" ref="H83">INDEX(military_assets!E:E,mil_ass_all!$B83)</f>
        <v>4</v>
      </c>
      <c r="I83" cm="1">
        <f t="array" ref="I83">INDEX(military_assets!F:F,mil_ass_all!$B83)</f>
        <v>3</v>
      </c>
      <c r="J83" cm="1">
        <f t="array" ref="J83">INDEX(military_assets!G:G,mil_ass_all!$B83)</f>
        <v>3</v>
      </c>
      <c r="K83" cm="1">
        <f t="array" ref="K83">INDEX(military_assets!H:H,mil_ass_all!$B83)</f>
        <v>1</v>
      </c>
      <c r="L83" t="str" cm="1">
        <f t="array" ref="L83">INDEX(military_assets!I:I,mil_ass_all!$B83)</f>
        <v>RUS</v>
      </c>
      <c r="M83" t="str" cm="1">
        <f t="array" ref="M83">INDEX(military_assets!J:J,mil_ass_all!$B83)</f>
        <v>Squadron</v>
      </c>
      <c r="N83" t="str" cm="1">
        <f t="array" ref="N83">INDEX(military_assets!K:K,mil_ass_all!$B83)</f>
        <v>Hidden: Can be played face down. 
STOBAR-Compatible.</v>
      </c>
      <c r="O83" t="str" cm="1">
        <f t="array" ref="O83">INDEX(military_assets!L:L,mil_ass_all!$B83)</f>
        <v>Images/mig29k.jpg</v>
      </c>
      <c r="P83" t="str" cm="1">
        <f t="array" ref="P83">INDEX(military_assets!M:M,mil_ass_all!$B83)</f>
        <v>With a $15M unit cost conceivably affordable by even second-tier NBA starters, the Mig-29K is proof that performance and price are not always at odds.</v>
      </c>
      <c r="Q83" t="str" cm="1">
        <f t="array" ref="Q83">INDEX(military_assets!N:N,mil_ass_all!$B83)</f>
        <v>0.0.1</v>
      </c>
    </row>
    <row r="84" spans="1:17" x14ac:dyDescent="0.25">
      <c r="C84" s="2"/>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6B5F9-9B6E-4286-85D0-A379CC367B5D}">
  <sheetPr codeName="Sheet8"/>
  <dimension ref="A1:Q83"/>
  <sheetViews>
    <sheetView tabSelected="1" workbookViewId="0">
      <selection activeCell="Q6" sqref="Q6"/>
    </sheetView>
  </sheetViews>
  <sheetFormatPr defaultRowHeight="15" x14ac:dyDescent="0.25"/>
  <cols>
    <col min="1" max="1" width="11.140625" customWidth="1"/>
    <col min="3" max="3" width="36.42578125" customWidth="1"/>
    <col min="4" max="4" width="45.85546875" customWidth="1"/>
  </cols>
  <sheetData>
    <row r="1" spans="1:17" x14ac:dyDescent="0.25">
      <c r="A1" t="s">
        <v>4</v>
      </c>
      <c r="B1" t="s">
        <v>117</v>
      </c>
      <c r="C1" s="3" t="s">
        <v>116</v>
      </c>
      <c r="D1" t="str">
        <f>military_assets!A1</f>
        <v>Title</v>
      </c>
      <c r="E1" t="str">
        <f>military_assets!B1</f>
        <v>Unused0</v>
      </c>
      <c r="F1" t="str">
        <f>military_assets!C1</f>
        <v>Unused1</v>
      </c>
      <c r="G1" t="str">
        <f>military_assets!D1</f>
        <v>Unused2</v>
      </c>
      <c r="H1" t="str">
        <f>military_assets!E1</f>
        <v>Attack</v>
      </c>
      <c r="I1" t="str">
        <f>military_assets!F1</f>
        <v>ShoreAttack</v>
      </c>
      <c r="J1" t="str">
        <f>military_assets!G1</f>
        <v>Defense</v>
      </c>
      <c r="K1" t="str">
        <f>military_assets!H1</f>
        <v>Logistics</v>
      </c>
      <c r="L1" t="str">
        <f>military_assets!I1</f>
        <v>Rosters</v>
      </c>
      <c r="M1" t="str">
        <f>military_assets!J1</f>
        <v>Type</v>
      </c>
      <c r="N1" t="str">
        <f>military_assets!K1</f>
        <v>Description</v>
      </c>
      <c r="O1" t="str">
        <f>military_assets!L1</f>
        <v>Image</v>
      </c>
      <c r="P1" t="str">
        <f>military_assets!M1</f>
        <v>FlavorText</v>
      </c>
      <c r="Q1" t="str">
        <f>military_assets!N1</f>
        <v>Version</v>
      </c>
    </row>
    <row r="2" spans="1:17" x14ac:dyDescent="0.25">
      <c r="A2">
        <v>1</v>
      </c>
      <c r="B2">
        <v>2</v>
      </c>
      <c r="C2" s="3" t="s">
        <v>126</v>
      </c>
      <c r="D2" t="str" cm="1">
        <f t="array" ref="D2">INDEX(military_assets!A:A,mil_ass_us_start!$B2)</f>
        <v>Nimitz Class CVN</v>
      </c>
      <c r="E2" cm="1">
        <f t="array" ref="E2">INDEX(military_assets!B:B,mil_ass_us_start!$B2)</f>
        <v>0</v>
      </c>
      <c r="F2" cm="1">
        <f t="array" ref="F2">INDEX(military_assets!C:C,mil_ass_us_start!$B2)</f>
        <v>0</v>
      </c>
      <c r="G2" cm="1">
        <f t="array" ref="G2">INDEX(military_assets!D:D,mil_ass_us_start!$B2)</f>
        <v>0</v>
      </c>
      <c r="H2" cm="1">
        <f t="array" ref="H2">INDEX(military_assets!E:E,mil_ass_us_start!$B2)</f>
        <v>0</v>
      </c>
      <c r="I2" cm="1">
        <f t="array" ref="I2">INDEX(military_assets!F:F,mil_ass_us_start!$B2)</f>
        <v>0</v>
      </c>
      <c r="J2" cm="1">
        <f t="array" ref="J2">INDEX(military_assets!G:G,mil_ass_us_start!$B2)</f>
        <v>2</v>
      </c>
      <c r="K2" cm="1">
        <f t="array" ref="K2">INDEX(military_assets!H:H,mil_ass_us_start!$B2)</f>
        <v>6</v>
      </c>
      <c r="L2" t="str" cm="1">
        <f t="array" ref="L2">INDEX(military_assets!I:I,mil_ass_us_start!$B2)</f>
        <v>USN</v>
      </c>
      <c r="M2" t="str" cm="1">
        <f t="array" ref="M2">INDEX(military_assets!J:J,mil_ass_us_start!$B2)</f>
        <v>Ship</v>
      </c>
      <c r="N2" t="str" cm="1">
        <f t="array" ref="N2">INDEX(military_assets!K:K,mil_ass_us_start!$B2)</f>
        <v>CATOBAR: Compatible with CATOBAR, VTOL, and  STOBAR squadrons.
E-2C Hawkeye: All squadrons you control in a combat including this asset have +1 attack and  defense.
Carrier 3: Can station 3 aircraft squadron.
CAP: +2 Help Defense</v>
      </c>
      <c r="O2" t="str" cm="1">
        <f t="array" ref="O2">INDEX(military_assets!L:L,mil_ass_us_start!$B2)</f>
        <v>Images/nimitz.jpg</v>
      </c>
      <c r="P2" t="str" cm="1">
        <f t="array" ref="P2">INDEX(military_assets!M:M,mil_ass_us_start!$B2)</f>
        <v>A military airbase at sea, a Nimitz carrier is more than three times as long as a football field and has more than twice the displacement of the German super-battleship Bismarck.</v>
      </c>
      <c r="Q2" t="str" cm="1">
        <f t="array" ref="Q2">INDEX(military_assets!N:N,mil_ass_us_start!$B2)</f>
        <v>0.0.1</v>
      </c>
    </row>
    <row r="3" spans="1:17" x14ac:dyDescent="0.25">
      <c r="A3">
        <v>1</v>
      </c>
      <c r="B3">
        <v>2</v>
      </c>
      <c r="C3" s="3" t="s">
        <v>127</v>
      </c>
      <c r="D3" t="str" cm="1">
        <f t="array" ref="D3">INDEX(military_assets!A:A,mil_ass_us_start!$B3)</f>
        <v>Nimitz Class CVN</v>
      </c>
      <c r="E3" cm="1">
        <f t="array" ref="E3">INDEX(military_assets!B:B,mil_ass_us_start!$B3)</f>
        <v>0</v>
      </c>
      <c r="F3" cm="1">
        <f t="array" ref="F3">INDEX(military_assets!C:C,mil_ass_us_start!$B3)</f>
        <v>0</v>
      </c>
      <c r="G3" cm="1">
        <f t="array" ref="G3">INDEX(military_assets!D:D,mil_ass_us_start!$B3)</f>
        <v>0</v>
      </c>
      <c r="H3" cm="1">
        <f t="array" ref="H3">INDEX(military_assets!E:E,mil_ass_us_start!$B3)</f>
        <v>0</v>
      </c>
      <c r="I3" cm="1">
        <f t="array" ref="I3">INDEX(military_assets!F:F,mil_ass_us_start!$B3)</f>
        <v>0</v>
      </c>
      <c r="J3" cm="1">
        <f t="array" ref="J3">INDEX(military_assets!G:G,mil_ass_us_start!$B3)</f>
        <v>2</v>
      </c>
      <c r="K3" cm="1">
        <f t="array" ref="K3">INDEX(military_assets!H:H,mil_ass_us_start!$B3)</f>
        <v>6</v>
      </c>
      <c r="L3" t="str" cm="1">
        <f t="array" ref="L3">INDEX(military_assets!I:I,mil_ass_us_start!$B3)</f>
        <v>USN</v>
      </c>
      <c r="M3" t="str" cm="1">
        <f t="array" ref="M3">INDEX(military_assets!J:J,mil_ass_us_start!$B3)</f>
        <v>Ship</v>
      </c>
      <c r="N3" t="str" cm="1">
        <f t="array" ref="N3">INDEX(military_assets!K:K,mil_ass_us_start!$B3)</f>
        <v>CATOBAR: Compatible with CATOBAR, VTOL, and  STOBAR squadrons.
E-2C Hawkeye: All squadrons you control in a combat including this asset have +1 attack and  defense.
Carrier 3: Can station 3 aircraft squadron.
CAP: +2 Help Defense</v>
      </c>
      <c r="O3" t="str" cm="1">
        <f t="array" ref="O3">INDEX(military_assets!L:L,mil_ass_us_start!$B3)</f>
        <v>Images/nimitz.jpg</v>
      </c>
      <c r="P3" t="str" cm="1">
        <f t="array" ref="P3">INDEX(military_assets!M:M,mil_ass_us_start!$B3)</f>
        <v>A military airbase at sea, a Nimitz carrier is more than three times as long as a football field and has more than twice the displacement of the German super-battleship Bismarck.</v>
      </c>
      <c r="Q3" t="str" cm="1">
        <f t="array" ref="Q3">INDEX(military_assets!N:N,mil_ass_us_start!$B3)</f>
        <v>0.0.1</v>
      </c>
    </row>
    <row r="4" spans="1:17" x14ac:dyDescent="0.25">
      <c r="A4">
        <v>1</v>
      </c>
      <c r="B4">
        <v>2</v>
      </c>
      <c r="C4" s="3" t="s">
        <v>256</v>
      </c>
      <c r="D4" t="str" cm="1">
        <f t="array" ref="D4">INDEX(military_assets!A:A,mil_ass_us_start!$B4)</f>
        <v>Nimitz Class CVN</v>
      </c>
      <c r="E4" cm="1">
        <f t="array" ref="E4">INDEX(military_assets!B:B,mil_ass_us_start!$B4)</f>
        <v>0</v>
      </c>
      <c r="F4" cm="1">
        <f t="array" ref="F4">INDEX(military_assets!C:C,mil_ass_us_start!$B4)</f>
        <v>0</v>
      </c>
      <c r="G4" cm="1">
        <f t="array" ref="G4">INDEX(military_assets!D:D,mil_ass_us_start!$B4)</f>
        <v>0</v>
      </c>
      <c r="H4" cm="1">
        <f t="array" ref="H4">INDEX(military_assets!E:E,mil_ass_us_start!$B4)</f>
        <v>0</v>
      </c>
      <c r="I4" cm="1">
        <f t="array" ref="I4">INDEX(military_assets!F:F,mil_ass_us_start!$B4)</f>
        <v>0</v>
      </c>
      <c r="J4" cm="1">
        <f t="array" ref="J4">INDEX(military_assets!G:G,mil_ass_us_start!$B4)</f>
        <v>2</v>
      </c>
      <c r="K4" cm="1">
        <f t="array" ref="K4">INDEX(military_assets!H:H,mil_ass_us_start!$B4)</f>
        <v>6</v>
      </c>
      <c r="L4" t="str" cm="1">
        <f t="array" ref="L4">INDEX(military_assets!I:I,mil_ass_us_start!$B4)</f>
        <v>USN</v>
      </c>
      <c r="M4" t="str" cm="1">
        <f t="array" ref="M4">INDEX(military_assets!J:J,mil_ass_us_start!$B4)</f>
        <v>Ship</v>
      </c>
      <c r="N4" t="str" cm="1">
        <f t="array" ref="N4">INDEX(military_assets!K:K,mil_ass_us_start!$B4)</f>
        <v>CATOBAR: Compatible with CATOBAR, VTOL, and  STOBAR squadrons.
E-2C Hawkeye: All squadrons you control in a combat including this asset have +1 attack and  defense.
Carrier 3: Can station 3 aircraft squadron.
CAP: +2 Help Defense</v>
      </c>
      <c r="O4" t="str" cm="1">
        <f t="array" ref="O4">INDEX(military_assets!L:L,mil_ass_us_start!$B4)</f>
        <v>Images/nimitz.jpg</v>
      </c>
      <c r="P4" t="str" cm="1">
        <f t="array" ref="P4">INDEX(military_assets!M:M,mil_ass_us_start!$B4)</f>
        <v>A military airbase at sea, a Nimitz carrier is more than three times as long as a football field and has more than twice the displacement of the German super-battleship Bismarck.</v>
      </c>
      <c r="Q4" t="str" cm="1">
        <f t="array" ref="Q4">INDEX(military_assets!N:N,mil_ass_us_start!$B4)</f>
        <v>0.0.1</v>
      </c>
    </row>
    <row r="5" spans="1:17" x14ac:dyDescent="0.25">
      <c r="A5">
        <v>0</v>
      </c>
      <c r="B5">
        <v>4</v>
      </c>
      <c r="C5" s="3" t="s">
        <v>129</v>
      </c>
      <c r="D5" t="str" cm="1">
        <f t="array" ref="D5">INDEX(military_assets!A:A,mil_ass_us_start!$B5)</f>
        <v>Wasp Class LHA</v>
      </c>
      <c r="E5" cm="1">
        <f t="array" ref="E5">INDEX(military_assets!B:B,mil_ass_us_start!$B5)</f>
        <v>0</v>
      </c>
      <c r="F5" cm="1">
        <f t="array" ref="F5">INDEX(military_assets!C:C,mil_ass_us_start!$B5)</f>
        <v>0</v>
      </c>
      <c r="G5" cm="1">
        <f t="array" ref="G5">INDEX(military_assets!D:D,mil_ass_us_start!$B5)</f>
        <v>0</v>
      </c>
      <c r="H5" cm="1">
        <f t="array" ref="H5">INDEX(military_assets!E:E,mil_ass_us_start!$B5)</f>
        <v>0</v>
      </c>
      <c r="I5" cm="1">
        <f t="array" ref="I5">INDEX(military_assets!F:F,mil_ass_us_start!$B5)</f>
        <v>4</v>
      </c>
      <c r="J5" cm="1">
        <f t="array" ref="J5">INDEX(military_assets!G:G,mil_ass_us_start!$B5)</f>
        <v>2</v>
      </c>
      <c r="K5" cm="1">
        <f t="array" ref="K5">INDEX(military_assets!H:H,mil_ass_us_start!$B5)</f>
        <v>3</v>
      </c>
      <c r="L5" t="str" cm="1">
        <f t="array" ref="L5">INDEX(military_assets!I:I,mil_ass_us_start!$B5)</f>
        <v>USN</v>
      </c>
      <c r="M5" t="str" cm="1">
        <f t="array" ref="M5">INDEX(military_assets!J:J,mil_ass_us_start!$B5)</f>
        <v>Ship</v>
      </c>
      <c r="N5" t="str" cm="1">
        <f t="array" ref="N5">INDEX(military_assets!K:K,mil_ass_us_start!$B5)</f>
        <v>VTOL: Compatible with all VTOL aircraft squadrons.
Carrier 1: Can station 1 aircraft squadron.</v>
      </c>
      <c r="O5" t="str" cm="1">
        <f t="array" ref="O5">INDEX(military_assets!L:L,mil_ass_us_start!$B5)</f>
        <v>Images/wasp.jpg</v>
      </c>
      <c r="P5" t="str" cm="1">
        <f t="array" ref="P5">INDEX(military_assets!M:M,mil_ass_us_start!$B5)</f>
        <v>In addition to supporting VTOL aircraft, a Wasp amphibious assault ship is capable of delivering a Marine Expeditionary Unit complete with its armored vehicles to hostile shores via helicopters and landing craft.</v>
      </c>
      <c r="Q5" t="str" cm="1">
        <f t="array" ref="Q5">INDEX(military_assets!N:N,mil_ass_us_start!$B5)</f>
        <v>0.0.1</v>
      </c>
    </row>
    <row r="6" spans="1:17" x14ac:dyDescent="0.25">
      <c r="A6">
        <v>0</v>
      </c>
      <c r="B6">
        <v>4</v>
      </c>
      <c r="C6" s="3" t="s">
        <v>128</v>
      </c>
      <c r="D6" t="str" cm="1">
        <f t="array" ref="D6">INDEX(military_assets!A:A,mil_ass_us_start!$B6)</f>
        <v>Wasp Class LHA</v>
      </c>
      <c r="E6" cm="1">
        <f t="array" ref="E6">INDEX(military_assets!B:B,mil_ass_us_start!$B6)</f>
        <v>0</v>
      </c>
      <c r="F6" cm="1">
        <f t="array" ref="F6">INDEX(military_assets!C:C,mil_ass_us_start!$B6)</f>
        <v>0</v>
      </c>
      <c r="G6" cm="1">
        <f t="array" ref="G6">INDEX(military_assets!D:D,mil_ass_us_start!$B6)</f>
        <v>0</v>
      </c>
      <c r="H6" cm="1">
        <f t="array" ref="H6">INDEX(military_assets!E:E,mil_ass_us_start!$B6)</f>
        <v>0</v>
      </c>
      <c r="I6" cm="1">
        <f t="array" ref="I6">INDEX(military_assets!F:F,mil_ass_us_start!$B6)</f>
        <v>4</v>
      </c>
      <c r="J6" cm="1">
        <f t="array" ref="J6">INDEX(military_assets!G:G,mil_ass_us_start!$B6)</f>
        <v>2</v>
      </c>
      <c r="K6" cm="1">
        <f t="array" ref="K6">INDEX(military_assets!H:H,mil_ass_us_start!$B6)</f>
        <v>3</v>
      </c>
      <c r="L6" t="str" cm="1">
        <f t="array" ref="L6">INDEX(military_assets!I:I,mil_ass_us_start!$B6)</f>
        <v>USN</v>
      </c>
      <c r="M6" t="str" cm="1">
        <f t="array" ref="M6">INDEX(military_assets!J:J,mil_ass_us_start!$B6)</f>
        <v>Ship</v>
      </c>
      <c r="N6" t="str" cm="1">
        <f t="array" ref="N6">INDEX(military_assets!K:K,mil_ass_us_start!$B6)</f>
        <v>VTOL: Compatible with all VTOL aircraft squadrons.
Carrier 1: Can station 1 aircraft squadron.</v>
      </c>
      <c r="O6" t="str" cm="1">
        <f t="array" ref="O6">INDEX(military_assets!L:L,mil_ass_us_start!$B6)</f>
        <v>Images/wasp.jpg</v>
      </c>
      <c r="P6" t="str" cm="1">
        <f t="array" ref="P6">INDEX(military_assets!M:M,mil_ass_us_start!$B6)</f>
        <v>In addition to supporting VTOL aircraft, a Wasp amphibious assault ship is capable of delivering a Marine Expeditionary Unit complete with its armored vehicles to hostile shores via helicopters and landing craft.</v>
      </c>
      <c r="Q6" t="str" cm="1">
        <f t="array" ref="Q6">INDEX(military_assets!N:N,mil_ass_us_start!$B6)</f>
        <v>0.0.1</v>
      </c>
    </row>
    <row r="7" spans="1:17" x14ac:dyDescent="0.25">
      <c r="A7">
        <v>0</v>
      </c>
      <c r="B7">
        <v>4</v>
      </c>
      <c r="C7" s="3" t="s">
        <v>259</v>
      </c>
      <c r="D7" t="str" cm="1">
        <f t="array" ref="D7">INDEX(military_assets!A:A,mil_ass_us_start!$B7)</f>
        <v>Wasp Class LHA</v>
      </c>
      <c r="E7" cm="1">
        <f t="array" ref="E7">INDEX(military_assets!B:B,mil_ass_us_start!$B7)</f>
        <v>0</v>
      </c>
      <c r="F7" cm="1">
        <f t="array" ref="F7">INDEX(military_assets!C:C,mil_ass_us_start!$B7)</f>
        <v>0</v>
      </c>
      <c r="G7" cm="1">
        <f t="array" ref="G7">INDEX(military_assets!D:D,mil_ass_us_start!$B7)</f>
        <v>0</v>
      </c>
      <c r="H7" cm="1">
        <f t="array" ref="H7">INDEX(military_assets!E:E,mil_ass_us_start!$B7)</f>
        <v>0</v>
      </c>
      <c r="I7" cm="1">
        <f t="array" ref="I7">INDEX(military_assets!F:F,mil_ass_us_start!$B7)</f>
        <v>4</v>
      </c>
      <c r="J7" cm="1">
        <f t="array" ref="J7">INDEX(military_assets!G:G,mil_ass_us_start!$B7)</f>
        <v>2</v>
      </c>
      <c r="K7" cm="1">
        <f t="array" ref="K7">INDEX(military_assets!H:H,mil_ass_us_start!$B7)</f>
        <v>3</v>
      </c>
      <c r="L7" t="str" cm="1">
        <f t="array" ref="L7">INDEX(military_assets!I:I,mil_ass_us_start!$B7)</f>
        <v>USN</v>
      </c>
      <c r="M7" t="str" cm="1">
        <f t="array" ref="M7">INDEX(military_assets!J:J,mil_ass_us_start!$B7)</f>
        <v>Ship</v>
      </c>
      <c r="N7" t="str" cm="1">
        <f t="array" ref="N7">INDEX(military_assets!K:K,mil_ass_us_start!$B7)</f>
        <v>VTOL: Compatible with all VTOL aircraft squadrons.
Carrier 1: Can station 1 aircraft squadron.</v>
      </c>
      <c r="O7" t="str" cm="1">
        <f t="array" ref="O7">INDEX(military_assets!L:L,mil_ass_us_start!$B7)</f>
        <v>Images/wasp.jpg</v>
      </c>
      <c r="P7" t="str" cm="1">
        <f t="array" ref="P7">INDEX(military_assets!M:M,mil_ass_us_start!$B7)</f>
        <v>In addition to supporting VTOL aircraft, a Wasp amphibious assault ship is capable of delivering a Marine Expeditionary Unit complete with its armored vehicles to hostile shores via helicopters and landing craft.</v>
      </c>
      <c r="Q7" t="str" cm="1">
        <f t="array" ref="Q7">INDEX(military_assets!N:N,mil_ass_us_start!$B7)</f>
        <v>0.0.1</v>
      </c>
    </row>
    <row r="8" spans="1:17" x14ac:dyDescent="0.25">
      <c r="A8">
        <v>0</v>
      </c>
      <c r="B8">
        <v>4</v>
      </c>
      <c r="C8" s="3" t="s">
        <v>257</v>
      </c>
      <c r="D8" t="str" cm="1">
        <f t="array" ref="D8">INDEX(military_assets!A:A,mil_ass_us_start!$B8)</f>
        <v>Wasp Class LHA</v>
      </c>
      <c r="E8" cm="1">
        <f t="array" ref="E8">INDEX(military_assets!B:B,mil_ass_us_start!$B8)</f>
        <v>0</v>
      </c>
      <c r="F8" cm="1">
        <f t="array" ref="F8">INDEX(military_assets!C:C,mil_ass_us_start!$B8)</f>
        <v>0</v>
      </c>
      <c r="G8" cm="1">
        <f t="array" ref="G8">INDEX(military_assets!D:D,mil_ass_us_start!$B8)</f>
        <v>0</v>
      </c>
      <c r="H8" cm="1">
        <f t="array" ref="H8">INDEX(military_assets!E:E,mil_ass_us_start!$B8)</f>
        <v>0</v>
      </c>
      <c r="I8" cm="1">
        <f t="array" ref="I8">INDEX(military_assets!F:F,mil_ass_us_start!$B8)</f>
        <v>4</v>
      </c>
      <c r="J8" cm="1">
        <f t="array" ref="J8">INDEX(military_assets!G:G,mil_ass_us_start!$B8)</f>
        <v>2</v>
      </c>
      <c r="K8" cm="1">
        <f t="array" ref="K8">INDEX(military_assets!H:H,mil_ass_us_start!$B8)</f>
        <v>3</v>
      </c>
      <c r="L8" t="str" cm="1">
        <f t="array" ref="L8">INDEX(military_assets!I:I,mil_ass_us_start!$B8)</f>
        <v>USN</v>
      </c>
      <c r="M8" t="str" cm="1">
        <f t="array" ref="M8">INDEX(military_assets!J:J,mil_ass_us_start!$B8)</f>
        <v>Ship</v>
      </c>
      <c r="N8" t="str" cm="1">
        <f t="array" ref="N8">INDEX(military_assets!K:K,mil_ass_us_start!$B8)</f>
        <v>VTOL: Compatible with all VTOL aircraft squadrons.
Carrier 1: Can station 1 aircraft squadron.</v>
      </c>
      <c r="O8" t="str" cm="1">
        <f t="array" ref="O8">INDEX(military_assets!L:L,mil_ass_us_start!$B8)</f>
        <v>Images/wasp.jpg</v>
      </c>
      <c r="P8" t="str" cm="1">
        <f t="array" ref="P8">INDEX(military_assets!M:M,mil_ass_us_start!$B8)</f>
        <v>In addition to supporting VTOL aircraft, a Wasp amphibious assault ship is capable of delivering a Marine Expeditionary Unit complete with its armored vehicles to hostile shores via helicopters and landing craft.</v>
      </c>
      <c r="Q8" t="str" cm="1">
        <f t="array" ref="Q8">INDEX(military_assets!N:N,mil_ass_us_start!$B8)</f>
        <v>0.0.1</v>
      </c>
    </row>
    <row r="9" spans="1:17" x14ac:dyDescent="0.25">
      <c r="A9">
        <v>0</v>
      </c>
      <c r="B9">
        <v>4</v>
      </c>
      <c r="C9" s="3" t="s">
        <v>258</v>
      </c>
      <c r="D9" t="str" cm="1">
        <f t="array" ref="D9">INDEX(military_assets!A:A,mil_ass_us_start!$B9)</f>
        <v>Wasp Class LHA</v>
      </c>
      <c r="E9" cm="1">
        <f t="array" ref="E9">INDEX(military_assets!B:B,mil_ass_us_start!$B9)</f>
        <v>0</v>
      </c>
      <c r="F9" cm="1">
        <f t="array" ref="F9">INDEX(military_assets!C:C,mil_ass_us_start!$B9)</f>
        <v>0</v>
      </c>
      <c r="G9" cm="1">
        <f t="array" ref="G9">INDEX(military_assets!D:D,mil_ass_us_start!$B9)</f>
        <v>0</v>
      </c>
      <c r="H9" cm="1">
        <f t="array" ref="H9">INDEX(military_assets!E:E,mil_ass_us_start!$B9)</f>
        <v>0</v>
      </c>
      <c r="I9" cm="1">
        <f t="array" ref="I9">INDEX(military_assets!F:F,mil_ass_us_start!$B9)</f>
        <v>4</v>
      </c>
      <c r="J9" cm="1">
        <f t="array" ref="J9">INDEX(military_assets!G:G,mil_ass_us_start!$B9)</f>
        <v>2</v>
      </c>
      <c r="K9" cm="1">
        <f t="array" ref="K9">INDEX(military_assets!H:H,mil_ass_us_start!$B9)</f>
        <v>3</v>
      </c>
      <c r="L9" t="str" cm="1">
        <f t="array" ref="L9">INDEX(military_assets!I:I,mil_ass_us_start!$B9)</f>
        <v>USN</v>
      </c>
      <c r="M9" t="str" cm="1">
        <f t="array" ref="M9">INDEX(military_assets!J:J,mil_ass_us_start!$B9)</f>
        <v>Ship</v>
      </c>
      <c r="N9" t="str" cm="1">
        <f t="array" ref="N9">INDEX(military_assets!K:K,mil_ass_us_start!$B9)</f>
        <v>VTOL: Compatible with all VTOL aircraft squadrons.
Carrier 1: Can station 1 aircraft squadron.</v>
      </c>
      <c r="O9" t="str" cm="1">
        <f t="array" ref="O9">INDEX(military_assets!L:L,mil_ass_us_start!$B9)</f>
        <v>Images/wasp.jpg</v>
      </c>
      <c r="P9" t="str" cm="1">
        <f t="array" ref="P9">INDEX(military_assets!M:M,mil_ass_us_start!$B9)</f>
        <v>In addition to supporting VTOL aircraft, a Wasp amphibious assault ship is capable of delivering a Marine Expeditionary Unit complete with its armored vehicles to hostile shores via helicopters and landing craft.</v>
      </c>
      <c r="Q9" t="str" cm="1">
        <f t="array" ref="Q9">INDEX(military_assets!N:N,mil_ass_us_start!$B9)</f>
        <v>0.0.1</v>
      </c>
    </row>
    <row r="10" spans="1:17" x14ac:dyDescent="0.25">
      <c r="A10">
        <v>1</v>
      </c>
      <c r="B10">
        <v>6</v>
      </c>
      <c r="C10" s="3" t="s">
        <v>131</v>
      </c>
      <c r="D10" t="str" cm="1">
        <f t="array" ref="D10">INDEX(military_assets!A:A,mil_ass_us_start!$B10)</f>
        <v>Seawolf Class SSN</v>
      </c>
      <c r="E10" cm="1">
        <f t="array" ref="E10">INDEX(military_assets!B:B,mil_ass_us_start!$B10)</f>
        <v>0</v>
      </c>
      <c r="F10" cm="1">
        <f t="array" ref="F10">INDEX(military_assets!C:C,mil_ass_us_start!$B10)</f>
        <v>0</v>
      </c>
      <c r="G10" cm="1">
        <f t="array" ref="G10">INDEX(military_assets!D:D,mil_ass_us_start!$B10)</f>
        <v>0</v>
      </c>
      <c r="H10" cm="1">
        <f t="array" ref="H10">INDEX(military_assets!E:E,mil_ass_us_start!$B10)</f>
        <v>4</v>
      </c>
      <c r="I10" cm="1">
        <f t="array" ref="I10">INDEX(military_assets!F:F,mil_ass_us_start!$B10)</f>
        <v>0</v>
      </c>
      <c r="J10" cm="1">
        <f t="array" ref="J10">INDEX(military_assets!G:G,mil_ass_us_start!$B10)</f>
        <v>4</v>
      </c>
      <c r="K10" cm="1">
        <f t="array" ref="K10">INDEX(military_assets!H:H,mil_ass_us_start!$B10)</f>
        <v>5</v>
      </c>
      <c r="L10" t="str" cm="1">
        <f t="array" ref="L10">INDEX(military_assets!I:I,mil_ass_us_start!$B10)</f>
        <v>USN</v>
      </c>
      <c r="M10" t="str" cm="1">
        <f t="array" ref="M10">INDEX(military_assets!J:J,mil_ass_us_start!$B10)</f>
        <v>Submarine</v>
      </c>
      <c r="N10" t="str" cm="1">
        <f t="array" ref="N10">INDEX(military_assets!K:K,mil_ass_us_start!$B10)</f>
        <v>Ambush: This asset deals damage during the Ambush Damage Step.
Special Purposes: Each time this military asset is flipped face up, your opponent must reveal one card from their hand at random.
Hidden: Can be played face down. 
Commerce Raider: When assaulting a player, this military asset's assault is equal to its attack.</v>
      </c>
      <c r="O10" t="str" cm="1">
        <f t="array" ref="O10">INDEX(military_assets!L:L,mil_ass_us_start!$B10)</f>
        <v>Images/seawolf.jpg</v>
      </c>
      <c r="P10" t="str" cm="1">
        <f t="array" ref="P10">INDEX(military_assets!M:M,mil_ass_us_start!$B10)</f>
        <v>As the most expensive class of attack submarine ever built, the Seawolf is the apex predator of the US Navy's submarine fleet.</v>
      </c>
      <c r="Q10" t="str" cm="1">
        <f t="array" ref="Q10">INDEX(military_assets!N:N,mil_ass_us_start!$B10)</f>
        <v>0.0.1</v>
      </c>
    </row>
    <row r="11" spans="1:17" x14ac:dyDescent="0.25">
      <c r="A11">
        <v>1</v>
      </c>
      <c r="B11">
        <v>7</v>
      </c>
      <c r="C11" s="3" t="s">
        <v>130</v>
      </c>
      <c r="D11" t="str" cm="1">
        <f t="array" ref="D11">INDEX(military_assets!A:A,mil_ass_us_start!$B11)</f>
        <v>Virginia Class SSN</v>
      </c>
      <c r="E11" cm="1">
        <f t="array" ref="E11">INDEX(military_assets!B:B,mil_ass_us_start!$B11)</f>
        <v>0</v>
      </c>
      <c r="F11" cm="1">
        <f t="array" ref="F11">INDEX(military_assets!C:C,mil_ass_us_start!$B11)</f>
        <v>0</v>
      </c>
      <c r="G11" cm="1">
        <f t="array" ref="G11">INDEX(military_assets!D:D,mil_ass_us_start!$B11)</f>
        <v>0</v>
      </c>
      <c r="H11" cm="1">
        <f t="array" ref="H11">INDEX(military_assets!E:E,mil_ass_us_start!$B11)</f>
        <v>3</v>
      </c>
      <c r="I11" cm="1">
        <f t="array" ref="I11">INDEX(military_assets!F:F,mil_ass_us_start!$B11)</f>
        <v>0</v>
      </c>
      <c r="J11" cm="1">
        <f t="array" ref="J11">INDEX(military_assets!G:G,mil_ass_us_start!$B11)</f>
        <v>4</v>
      </c>
      <c r="K11" cm="1">
        <f t="array" ref="K11">INDEX(military_assets!H:H,mil_ass_us_start!$B11)</f>
        <v>4</v>
      </c>
      <c r="L11" t="str" cm="1">
        <f t="array" ref="L11">INDEX(military_assets!I:I,mil_ass_us_start!$B11)</f>
        <v>USN</v>
      </c>
      <c r="M11" t="str" cm="1">
        <f t="array" ref="M11">INDEX(military_assets!J:J,mil_ass_us_start!$B11)</f>
        <v>Submarine</v>
      </c>
      <c r="N11" t="str" cm="1">
        <f t="array" ref="N11">INDEX(military_assets!K:K,mil_ass_us_start!$B11)</f>
        <v>Ambush: This asset deals damage during the Ambush Damage Step.
Hidden: Can be played face down. 
Commerce Raider: When assaulting a player, this military asset's assault is equal to its attack.</v>
      </c>
      <c r="O11" t="str" cm="1">
        <f t="array" ref="O11">INDEX(military_assets!L:L,mil_ass_us_start!$B11)</f>
        <v>Images/virginia.jpg</v>
      </c>
      <c r="P11" t="str" cm="1">
        <f t="array" ref="P11">INDEX(military_assets!M:M,mil_ass_us_start!$B11)</f>
        <v>The advanced Virginia will be the standard attack submarine of the US Navy until at least the middle of the 21st century.</v>
      </c>
      <c r="Q11" t="str" cm="1">
        <f t="array" ref="Q11">INDEX(military_assets!N:N,mil_ass_us_start!$B11)</f>
        <v>0.0.1</v>
      </c>
    </row>
    <row r="12" spans="1:17" x14ac:dyDescent="0.25">
      <c r="A12">
        <v>1</v>
      </c>
      <c r="B12">
        <v>7</v>
      </c>
      <c r="C12" s="3" t="s">
        <v>261</v>
      </c>
      <c r="D12" t="str" cm="1">
        <f t="array" ref="D12">INDEX(military_assets!A:A,mil_ass_us_start!$B12)</f>
        <v>Virginia Class SSN</v>
      </c>
      <c r="E12" cm="1">
        <f t="array" ref="E12">INDEX(military_assets!B:B,mil_ass_us_start!$B12)</f>
        <v>0</v>
      </c>
      <c r="F12" cm="1">
        <f t="array" ref="F12">INDEX(military_assets!C:C,mil_ass_us_start!$B12)</f>
        <v>0</v>
      </c>
      <c r="G12" cm="1">
        <f t="array" ref="G12">INDEX(military_assets!D:D,mil_ass_us_start!$B12)</f>
        <v>0</v>
      </c>
      <c r="H12" cm="1">
        <f t="array" ref="H12">INDEX(military_assets!E:E,mil_ass_us_start!$B12)</f>
        <v>3</v>
      </c>
      <c r="I12" cm="1">
        <f t="array" ref="I12">INDEX(military_assets!F:F,mil_ass_us_start!$B12)</f>
        <v>0</v>
      </c>
      <c r="J12" cm="1">
        <f t="array" ref="J12">INDEX(military_assets!G:G,mil_ass_us_start!$B12)</f>
        <v>4</v>
      </c>
      <c r="K12" cm="1">
        <f t="array" ref="K12">INDEX(military_assets!H:H,mil_ass_us_start!$B12)</f>
        <v>4</v>
      </c>
      <c r="L12" t="str" cm="1">
        <f t="array" ref="L12">INDEX(military_assets!I:I,mil_ass_us_start!$B12)</f>
        <v>USN</v>
      </c>
      <c r="M12" t="str" cm="1">
        <f t="array" ref="M12">INDEX(military_assets!J:J,mil_ass_us_start!$B12)</f>
        <v>Submarine</v>
      </c>
      <c r="N12" t="str" cm="1">
        <f t="array" ref="N12">INDEX(military_assets!K:K,mil_ass_us_start!$B12)</f>
        <v>Ambush: This asset deals damage during the Ambush Damage Step.
Hidden: Can be played face down. 
Commerce Raider: When assaulting a player, this military asset's assault is equal to its attack.</v>
      </c>
      <c r="O12" t="str" cm="1">
        <f t="array" ref="O12">INDEX(military_assets!L:L,mil_ass_us_start!$B12)</f>
        <v>Images/virginia.jpg</v>
      </c>
      <c r="P12" t="str" cm="1">
        <f t="array" ref="P12">INDEX(military_assets!M:M,mil_ass_us_start!$B12)</f>
        <v>The advanced Virginia will be the standard attack submarine of the US Navy until at least the middle of the 21st century.</v>
      </c>
      <c r="Q12" t="str" cm="1">
        <f t="array" ref="Q12">INDEX(military_assets!N:N,mil_ass_us_start!$B12)</f>
        <v>0.0.1</v>
      </c>
    </row>
    <row r="13" spans="1:17" x14ac:dyDescent="0.25">
      <c r="A13">
        <v>1</v>
      </c>
      <c r="B13">
        <v>7</v>
      </c>
      <c r="C13" s="3" t="s">
        <v>260</v>
      </c>
      <c r="D13" t="str" cm="1">
        <f t="array" ref="D13">INDEX(military_assets!A:A,mil_ass_us_start!$B13)</f>
        <v>Virginia Class SSN</v>
      </c>
      <c r="E13" cm="1">
        <f t="array" ref="E13">INDEX(military_assets!B:B,mil_ass_us_start!$B13)</f>
        <v>0</v>
      </c>
      <c r="F13" cm="1">
        <f t="array" ref="F13">INDEX(military_assets!C:C,mil_ass_us_start!$B13)</f>
        <v>0</v>
      </c>
      <c r="G13" cm="1">
        <f t="array" ref="G13">INDEX(military_assets!D:D,mil_ass_us_start!$B13)</f>
        <v>0</v>
      </c>
      <c r="H13" cm="1">
        <f t="array" ref="H13">INDEX(military_assets!E:E,mil_ass_us_start!$B13)</f>
        <v>3</v>
      </c>
      <c r="I13" cm="1">
        <f t="array" ref="I13">INDEX(military_assets!F:F,mil_ass_us_start!$B13)</f>
        <v>0</v>
      </c>
      <c r="J13" cm="1">
        <f t="array" ref="J13">INDEX(military_assets!G:G,mil_ass_us_start!$B13)</f>
        <v>4</v>
      </c>
      <c r="K13" cm="1">
        <f t="array" ref="K13">INDEX(military_assets!H:H,mil_ass_us_start!$B13)</f>
        <v>4</v>
      </c>
      <c r="L13" t="str" cm="1">
        <f t="array" ref="L13">INDEX(military_assets!I:I,mil_ass_us_start!$B13)</f>
        <v>USN</v>
      </c>
      <c r="M13" t="str" cm="1">
        <f t="array" ref="M13">INDEX(military_assets!J:J,mil_ass_us_start!$B13)</f>
        <v>Submarine</v>
      </c>
      <c r="N13" t="str" cm="1">
        <f t="array" ref="N13">INDEX(military_assets!K:K,mil_ass_us_start!$B13)</f>
        <v>Ambush: This asset deals damage during the Ambush Damage Step.
Hidden: Can be played face down. 
Commerce Raider: When assaulting a player, this military asset's assault is equal to its attack.</v>
      </c>
      <c r="O13" t="str" cm="1">
        <f t="array" ref="O13">INDEX(military_assets!L:L,mil_ass_us_start!$B13)</f>
        <v>Images/virginia.jpg</v>
      </c>
      <c r="P13" t="str" cm="1">
        <f t="array" ref="P13">INDEX(military_assets!M:M,mil_ass_us_start!$B13)</f>
        <v>The advanced Virginia will be the standard attack submarine of the US Navy until at least the middle of the 21st century.</v>
      </c>
      <c r="Q13" t="str" cm="1">
        <f t="array" ref="Q13">INDEX(military_assets!N:N,mil_ass_us_start!$B13)</f>
        <v>0.0.1</v>
      </c>
    </row>
    <row r="14" spans="1:17" x14ac:dyDescent="0.25">
      <c r="A14">
        <v>0</v>
      </c>
      <c r="B14">
        <v>8</v>
      </c>
      <c r="C14" s="3" t="s">
        <v>262</v>
      </c>
      <c r="D14" t="str" cm="1">
        <f t="array" ref="D14">INDEX(military_assets!A:A,mil_ass_us_start!$B14)</f>
        <v>Ohio Class SSGN</v>
      </c>
      <c r="E14" cm="1">
        <f t="array" ref="E14">INDEX(military_assets!B:B,mil_ass_us_start!$B14)</f>
        <v>0</v>
      </c>
      <c r="F14" cm="1">
        <f t="array" ref="F14">INDEX(military_assets!C:C,mil_ass_us_start!$B14)</f>
        <v>0</v>
      </c>
      <c r="G14" cm="1">
        <f t="array" ref="G14">INDEX(military_assets!D:D,mil_ass_us_start!$B14)</f>
        <v>0</v>
      </c>
      <c r="H14" cm="1">
        <f t="array" ref="H14">INDEX(military_assets!E:E,mil_ass_us_start!$B14)</f>
        <v>3</v>
      </c>
      <c r="I14" cm="1">
        <f t="array" ref="I14">INDEX(military_assets!F:F,mil_ass_us_start!$B14)</f>
        <v>5</v>
      </c>
      <c r="J14" cm="1">
        <f t="array" ref="J14">INDEX(military_assets!G:G,mil_ass_us_start!$B14)</f>
        <v>2</v>
      </c>
      <c r="K14" cm="1">
        <f t="array" ref="K14">INDEX(military_assets!H:H,mil_ass_us_start!$B14)</f>
        <v>5</v>
      </c>
      <c r="L14" t="str" cm="1">
        <f t="array" ref="L14">INDEX(military_assets!I:I,mil_ass_us_start!$B14)</f>
        <v>USN</v>
      </c>
      <c r="M14" t="str" cm="1">
        <f t="array" ref="M14">INDEX(military_assets!J:J,mil_ass_us_start!$B14)</f>
        <v>Submarine</v>
      </c>
      <c r="N14" t="str" cm="1">
        <f t="array" ref="N14">INDEX(military_assets!K:K,mil_ass_us_start!$B14)</f>
        <v xml:space="preserve">Ambush: This asset deals damage during the Ambush Damage Step.
Strategic Strike Capability: At the end of your turn, if this asset is face-up and did not take part of an attack or defense, your opponent must discard one card from their deck.
Hidden: Can be played face down. </v>
      </c>
      <c r="O14" t="str" cm="1">
        <f t="array" ref="O14">INDEX(military_assets!L:L,mil_ass_us_start!$B14)</f>
        <v>Images/ohio.jpg</v>
      </c>
      <c r="P14" t="str" cm="1">
        <f t="array" ref="P14">INDEX(military_assets!M:M,mil_ass_us_start!$B14)</f>
        <v>Although Ohio was originally intended to carry nuclear ballistic missiles, some Ohio's have been modified as SSGNs for surface warfare and land-attack missions.</v>
      </c>
      <c r="Q14" t="str" cm="1">
        <f t="array" ref="Q14">INDEX(military_assets!N:N,mil_ass_us_start!$B14)</f>
        <v>0.0.1</v>
      </c>
    </row>
    <row r="15" spans="1:17" x14ac:dyDescent="0.25">
      <c r="A15">
        <v>0</v>
      </c>
      <c r="B15">
        <v>8</v>
      </c>
      <c r="C15" s="3" t="s">
        <v>263</v>
      </c>
      <c r="D15" t="str" cm="1">
        <f t="array" ref="D15">INDEX(military_assets!A:A,mil_ass_us_start!$B15)</f>
        <v>Ohio Class SSGN</v>
      </c>
      <c r="E15" cm="1">
        <f t="array" ref="E15">INDEX(military_assets!B:B,mil_ass_us_start!$B15)</f>
        <v>0</v>
      </c>
      <c r="F15" cm="1">
        <f t="array" ref="F15">INDEX(military_assets!C:C,mil_ass_us_start!$B15)</f>
        <v>0</v>
      </c>
      <c r="G15" cm="1">
        <f t="array" ref="G15">INDEX(military_assets!D:D,mil_ass_us_start!$B15)</f>
        <v>0</v>
      </c>
      <c r="H15" cm="1">
        <f t="array" ref="H15">INDEX(military_assets!E:E,mil_ass_us_start!$B15)</f>
        <v>3</v>
      </c>
      <c r="I15" cm="1">
        <f t="array" ref="I15">INDEX(military_assets!F:F,mil_ass_us_start!$B15)</f>
        <v>5</v>
      </c>
      <c r="J15" cm="1">
        <f t="array" ref="J15">INDEX(military_assets!G:G,mil_ass_us_start!$B15)</f>
        <v>2</v>
      </c>
      <c r="K15" cm="1">
        <f t="array" ref="K15">INDEX(military_assets!H:H,mil_ass_us_start!$B15)</f>
        <v>5</v>
      </c>
      <c r="L15" t="str" cm="1">
        <f t="array" ref="L15">INDEX(military_assets!I:I,mil_ass_us_start!$B15)</f>
        <v>USN</v>
      </c>
      <c r="M15" t="str" cm="1">
        <f t="array" ref="M15">INDEX(military_assets!J:J,mil_ass_us_start!$B15)</f>
        <v>Submarine</v>
      </c>
      <c r="N15" t="str" cm="1">
        <f t="array" ref="N15">INDEX(military_assets!K:K,mil_ass_us_start!$B15)</f>
        <v xml:space="preserve">Ambush: This asset deals damage during the Ambush Damage Step.
Strategic Strike Capability: At the end of your turn, if this asset is face-up and did not take part of an attack or defense, your opponent must discard one card from their deck.
Hidden: Can be played face down. </v>
      </c>
      <c r="O15" t="str" cm="1">
        <f t="array" ref="O15">INDEX(military_assets!L:L,mil_ass_us_start!$B15)</f>
        <v>Images/ohio.jpg</v>
      </c>
      <c r="P15" t="str" cm="1">
        <f t="array" ref="P15">INDEX(military_assets!M:M,mil_ass_us_start!$B15)</f>
        <v>Although Ohio was originally intended to carry nuclear ballistic missiles, some Ohio's have been modified as SSGNs for surface warfare and land-attack missions.</v>
      </c>
      <c r="Q15" t="str" cm="1">
        <f t="array" ref="Q15">INDEX(military_assets!N:N,mil_ass_us_start!$B15)</f>
        <v>0.0.1</v>
      </c>
    </row>
    <row r="16" spans="1:17" x14ac:dyDescent="0.25">
      <c r="A16">
        <v>0</v>
      </c>
      <c r="B16">
        <v>9</v>
      </c>
      <c r="C16" s="3" t="s">
        <v>132</v>
      </c>
      <c r="D16" t="str" cm="1">
        <f t="array" ref="D16">INDEX(military_assets!A:A,mil_ass_us_start!$B16)</f>
        <v>Ticonderoga Class CG</v>
      </c>
      <c r="E16" cm="1">
        <f t="array" ref="E16">INDEX(military_assets!B:B,mil_ass_us_start!$B16)</f>
        <v>0</v>
      </c>
      <c r="F16" cm="1">
        <f t="array" ref="F16">INDEX(military_assets!C:C,mil_ass_us_start!$B16)</f>
        <v>0</v>
      </c>
      <c r="G16" cm="1">
        <f t="array" ref="G16">INDEX(military_assets!D:D,mil_ass_us_start!$B16)</f>
        <v>0</v>
      </c>
      <c r="H16" cm="1">
        <f t="array" ref="H16">INDEX(military_assets!E:E,mil_ass_us_start!$B16)</f>
        <v>2</v>
      </c>
      <c r="I16" cm="1">
        <f t="array" ref="I16">INDEX(military_assets!F:F,mil_ass_us_start!$B16)</f>
        <v>3</v>
      </c>
      <c r="J16" cm="1">
        <f t="array" ref="J16">INDEX(military_assets!G:G,mil_ass_us_start!$B16)</f>
        <v>3</v>
      </c>
      <c r="K16" cm="1">
        <f t="array" ref="K16">INDEX(military_assets!H:H,mil_ass_us_start!$B16)</f>
        <v>4</v>
      </c>
      <c r="L16" t="str" cm="1">
        <f t="array" ref="L16">INDEX(military_assets!I:I,mil_ass_us_start!$B16)</f>
        <v>USN</v>
      </c>
      <c r="M16" t="str" cm="1">
        <f t="array" ref="M16">INDEX(military_assets!J:J,mil_ass_us_start!$B16)</f>
        <v>Ship</v>
      </c>
      <c r="N16" t="str" cm="1">
        <f t="array" ref="N16">INDEX(military_assets!K:K,mil_ass_us_start!$B16)</f>
        <v>AEGIS: +2 Help Defense.</v>
      </c>
      <c r="O16" t="str" cm="1">
        <f t="array" ref="O16">INDEX(military_assets!L:L,mil_ass_us_start!$B16)</f>
        <v>Images/ticonderoga.jpg</v>
      </c>
      <c r="P16" t="str" cm="1">
        <f t="array" ref="P16">INDEX(military_assets!M:M,mil_ass_us_start!$B16)</f>
        <v>Despite a modest displacement by historical standards, the Ticonderoga is the largest surface combatant in the US Navy.</v>
      </c>
      <c r="Q16" t="str" cm="1">
        <f t="array" ref="Q16">INDEX(military_assets!N:N,mil_ass_us_start!$B16)</f>
        <v>0.0.1</v>
      </c>
    </row>
    <row r="17" spans="1:17" x14ac:dyDescent="0.25">
      <c r="A17">
        <v>1</v>
      </c>
      <c r="B17">
        <v>9</v>
      </c>
      <c r="C17" s="3" t="s">
        <v>133</v>
      </c>
      <c r="D17" t="str" cm="1">
        <f t="array" ref="D17">INDEX(military_assets!A:A,mil_ass_us_start!$B17)</f>
        <v>Ticonderoga Class CG</v>
      </c>
      <c r="E17" cm="1">
        <f t="array" ref="E17">INDEX(military_assets!B:B,mil_ass_us_start!$B17)</f>
        <v>0</v>
      </c>
      <c r="F17" cm="1">
        <f t="array" ref="F17">INDEX(military_assets!C:C,mil_ass_us_start!$B17)</f>
        <v>0</v>
      </c>
      <c r="G17" cm="1">
        <f t="array" ref="G17">INDEX(military_assets!D:D,mil_ass_us_start!$B17)</f>
        <v>0</v>
      </c>
      <c r="H17" cm="1">
        <f t="array" ref="H17">INDEX(military_assets!E:E,mil_ass_us_start!$B17)</f>
        <v>2</v>
      </c>
      <c r="I17" cm="1">
        <f t="array" ref="I17">INDEX(military_assets!F:F,mil_ass_us_start!$B17)</f>
        <v>3</v>
      </c>
      <c r="J17" cm="1">
        <f t="array" ref="J17">INDEX(military_assets!G:G,mil_ass_us_start!$B17)</f>
        <v>3</v>
      </c>
      <c r="K17" cm="1">
        <f t="array" ref="K17">INDEX(military_assets!H:H,mil_ass_us_start!$B17)</f>
        <v>4</v>
      </c>
      <c r="L17" t="str" cm="1">
        <f t="array" ref="L17">INDEX(military_assets!I:I,mil_ass_us_start!$B17)</f>
        <v>USN</v>
      </c>
      <c r="M17" t="str" cm="1">
        <f t="array" ref="M17">INDEX(military_assets!J:J,mil_ass_us_start!$B17)</f>
        <v>Ship</v>
      </c>
      <c r="N17" t="str" cm="1">
        <f t="array" ref="N17">INDEX(military_assets!K:K,mil_ass_us_start!$B17)</f>
        <v>AEGIS: +2 Help Defense.</v>
      </c>
      <c r="O17" t="str" cm="1">
        <f t="array" ref="O17">INDEX(military_assets!L:L,mil_ass_us_start!$B17)</f>
        <v>Images/ticonderoga.jpg</v>
      </c>
      <c r="P17" t="str" cm="1">
        <f t="array" ref="P17">INDEX(military_assets!M:M,mil_ass_us_start!$B17)</f>
        <v>Despite a modest displacement by historical standards, the Ticonderoga is the largest surface combatant in the US Navy.</v>
      </c>
      <c r="Q17" t="str" cm="1">
        <f t="array" ref="Q17">INDEX(military_assets!N:N,mil_ass_us_start!$B17)</f>
        <v>0.0.1</v>
      </c>
    </row>
    <row r="18" spans="1:17" x14ac:dyDescent="0.25">
      <c r="A18">
        <v>1</v>
      </c>
      <c r="B18">
        <v>9</v>
      </c>
      <c r="C18" s="3" t="s">
        <v>264</v>
      </c>
      <c r="D18" t="str" cm="1">
        <f t="array" ref="D18">INDEX(military_assets!A:A,mil_ass_us_start!$B18)</f>
        <v>Ticonderoga Class CG</v>
      </c>
      <c r="E18" cm="1">
        <f t="array" ref="E18">INDEX(military_assets!B:B,mil_ass_us_start!$B18)</f>
        <v>0</v>
      </c>
      <c r="F18" cm="1">
        <f t="array" ref="F18">INDEX(military_assets!C:C,mil_ass_us_start!$B18)</f>
        <v>0</v>
      </c>
      <c r="G18" cm="1">
        <f t="array" ref="G18">INDEX(military_assets!D:D,mil_ass_us_start!$B18)</f>
        <v>0</v>
      </c>
      <c r="H18" cm="1">
        <f t="array" ref="H18">INDEX(military_assets!E:E,mil_ass_us_start!$B18)</f>
        <v>2</v>
      </c>
      <c r="I18" cm="1">
        <f t="array" ref="I18">INDEX(military_assets!F:F,mil_ass_us_start!$B18)</f>
        <v>3</v>
      </c>
      <c r="J18" cm="1">
        <f t="array" ref="J18">INDEX(military_assets!G:G,mil_ass_us_start!$B18)</f>
        <v>3</v>
      </c>
      <c r="K18" cm="1">
        <f t="array" ref="K18">INDEX(military_assets!H:H,mil_ass_us_start!$B18)</f>
        <v>4</v>
      </c>
      <c r="L18" t="str" cm="1">
        <f t="array" ref="L18">INDEX(military_assets!I:I,mil_ass_us_start!$B18)</f>
        <v>USN</v>
      </c>
      <c r="M18" t="str" cm="1">
        <f t="array" ref="M18">INDEX(military_assets!J:J,mil_ass_us_start!$B18)</f>
        <v>Ship</v>
      </c>
      <c r="N18" t="str" cm="1">
        <f t="array" ref="N18">INDEX(military_assets!K:K,mil_ass_us_start!$B18)</f>
        <v>AEGIS: +2 Help Defense.</v>
      </c>
      <c r="O18" t="str" cm="1">
        <f t="array" ref="O18">INDEX(military_assets!L:L,mil_ass_us_start!$B18)</f>
        <v>Images/ticonderoga.jpg</v>
      </c>
      <c r="P18" t="str" cm="1">
        <f t="array" ref="P18">INDEX(military_assets!M:M,mil_ass_us_start!$B18)</f>
        <v>Despite a modest displacement by historical standards, the Ticonderoga is the largest surface combatant in the US Navy.</v>
      </c>
      <c r="Q18" t="str" cm="1">
        <f t="array" ref="Q18">INDEX(military_assets!N:N,mil_ass_us_start!$B18)</f>
        <v>0.0.1</v>
      </c>
    </row>
    <row r="19" spans="1:17" x14ac:dyDescent="0.25">
      <c r="A19">
        <v>0</v>
      </c>
      <c r="B19">
        <v>10</v>
      </c>
      <c r="C19" s="3" t="s">
        <v>123</v>
      </c>
      <c r="D19" t="str" cm="1">
        <f t="array" ref="D19">INDEX(military_assets!A:A,mil_ass_us_start!$B19)</f>
        <v>Arleigh Burke Class DDG</v>
      </c>
      <c r="E19" cm="1">
        <f t="array" ref="E19">INDEX(military_assets!B:B,mil_ass_us_start!$B19)</f>
        <v>0</v>
      </c>
      <c r="F19" cm="1">
        <f t="array" ref="F19">INDEX(military_assets!C:C,mil_ass_us_start!$B19)</f>
        <v>0</v>
      </c>
      <c r="G19" cm="1">
        <f t="array" ref="G19">INDEX(military_assets!D:D,mil_ass_us_start!$B19)</f>
        <v>0</v>
      </c>
      <c r="H19" cm="1">
        <f t="array" ref="H19">INDEX(military_assets!E:E,mil_ass_us_start!$B19)</f>
        <v>2</v>
      </c>
      <c r="I19" cm="1">
        <f t="array" ref="I19">INDEX(military_assets!F:F,mil_ass_us_start!$B19)</f>
        <v>3</v>
      </c>
      <c r="J19" cm="1">
        <f t="array" ref="J19">INDEX(military_assets!G:G,mil_ass_us_start!$B19)</f>
        <v>2</v>
      </c>
      <c r="K19" cm="1">
        <f t="array" ref="K19">INDEX(military_assets!H:H,mil_ass_us_start!$B19)</f>
        <v>3</v>
      </c>
      <c r="L19" t="str" cm="1">
        <f t="array" ref="L19">INDEX(military_assets!I:I,mil_ass_us_start!$B19)</f>
        <v>USN</v>
      </c>
      <c r="M19" t="str" cm="1">
        <f t="array" ref="M19">INDEX(military_assets!J:J,mil_ass_us_start!$B19)</f>
        <v>Ship</v>
      </c>
      <c r="N19" t="str" cm="1">
        <f t="array" ref="N19">INDEX(military_assets!K:K,mil_ass_us_start!$B19)</f>
        <v>AEGIS: +2 Help Defense.</v>
      </c>
      <c r="O19" t="str" cm="1">
        <f t="array" ref="O19">INDEX(military_assets!L:L,mil_ass_us_start!$B19)</f>
        <v>Images/arleighburke.jpg</v>
      </c>
      <c r="P19" t="str" cm="1">
        <f t="array" ref="P19">INDEX(military_assets!M:M,mil_ass_us_start!$B19)</f>
        <v>The multi-mission Arleigh Burke is the most numerous ship in the US Navy.</v>
      </c>
      <c r="Q19" t="str" cm="1">
        <f t="array" ref="Q19">INDEX(military_assets!N:N,mil_ass_us_start!$B19)</f>
        <v>0.0.1</v>
      </c>
    </row>
    <row r="20" spans="1:17" x14ac:dyDescent="0.25">
      <c r="A20">
        <v>1</v>
      </c>
      <c r="B20">
        <v>10</v>
      </c>
      <c r="C20" s="3" t="s">
        <v>124</v>
      </c>
      <c r="D20" t="str" cm="1">
        <f t="array" ref="D20">INDEX(military_assets!A:A,mil_ass_us_start!$B20)</f>
        <v>Arleigh Burke Class DDG</v>
      </c>
      <c r="E20" cm="1">
        <f t="array" ref="E20">INDEX(military_assets!B:B,mil_ass_us_start!$B20)</f>
        <v>0</v>
      </c>
      <c r="F20" cm="1">
        <f t="array" ref="F20">INDEX(military_assets!C:C,mil_ass_us_start!$B20)</f>
        <v>0</v>
      </c>
      <c r="G20" cm="1">
        <f t="array" ref="G20">INDEX(military_assets!D:D,mil_ass_us_start!$B20)</f>
        <v>0</v>
      </c>
      <c r="H20" cm="1">
        <f t="array" ref="H20">INDEX(military_assets!E:E,mil_ass_us_start!$B20)</f>
        <v>2</v>
      </c>
      <c r="I20" cm="1">
        <f t="array" ref="I20">INDEX(military_assets!F:F,mil_ass_us_start!$B20)</f>
        <v>3</v>
      </c>
      <c r="J20" cm="1">
        <f t="array" ref="J20">INDEX(military_assets!G:G,mil_ass_us_start!$B20)</f>
        <v>2</v>
      </c>
      <c r="K20" cm="1">
        <f t="array" ref="K20">INDEX(military_assets!H:H,mil_ass_us_start!$B20)</f>
        <v>3</v>
      </c>
      <c r="L20" t="str" cm="1">
        <f t="array" ref="L20">INDEX(military_assets!I:I,mil_ass_us_start!$B20)</f>
        <v>USN</v>
      </c>
      <c r="M20" t="str" cm="1">
        <f t="array" ref="M20">INDEX(military_assets!J:J,mil_ass_us_start!$B20)</f>
        <v>Ship</v>
      </c>
      <c r="N20" t="str" cm="1">
        <f t="array" ref="N20">INDEX(military_assets!K:K,mil_ass_us_start!$B20)</f>
        <v>AEGIS: +2 Help Defense.</v>
      </c>
      <c r="O20" t="str" cm="1">
        <f t="array" ref="O20">INDEX(military_assets!L:L,mil_ass_us_start!$B20)</f>
        <v>Images/arleighburke.jpg</v>
      </c>
      <c r="P20" t="str" cm="1">
        <f t="array" ref="P20">INDEX(military_assets!M:M,mil_ass_us_start!$B20)</f>
        <v>The multi-mission Arleigh Burke is the most numerous ship in the US Navy.</v>
      </c>
      <c r="Q20" t="str" cm="1">
        <f t="array" ref="Q20">INDEX(military_assets!N:N,mil_ass_us_start!$B20)</f>
        <v>0.0.1</v>
      </c>
    </row>
    <row r="21" spans="1:17" x14ac:dyDescent="0.25">
      <c r="A21">
        <v>1</v>
      </c>
      <c r="B21">
        <v>10</v>
      </c>
      <c r="C21" s="3" t="s">
        <v>125</v>
      </c>
      <c r="D21" t="str" cm="1">
        <f t="array" ref="D21">INDEX(military_assets!A:A,mil_ass_us_start!$B21)</f>
        <v>Arleigh Burke Class DDG</v>
      </c>
      <c r="E21" cm="1">
        <f t="array" ref="E21">INDEX(military_assets!B:B,mil_ass_us_start!$B21)</f>
        <v>0</v>
      </c>
      <c r="F21" cm="1">
        <f t="array" ref="F21">INDEX(military_assets!C:C,mil_ass_us_start!$B21)</f>
        <v>0</v>
      </c>
      <c r="G21" cm="1">
        <f t="array" ref="G21">INDEX(military_assets!D:D,mil_ass_us_start!$B21)</f>
        <v>0</v>
      </c>
      <c r="H21" cm="1">
        <f t="array" ref="H21">INDEX(military_assets!E:E,mil_ass_us_start!$B21)</f>
        <v>2</v>
      </c>
      <c r="I21" cm="1">
        <f t="array" ref="I21">INDEX(military_assets!F:F,mil_ass_us_start!$B21)</f>
        <v>3</v>
      </c>
      <c r="J21" cm="1">
        <f t="array" ref="J21">INDEX(military_assets!G:G,mil_ass_us_start!$B21)</f>
        <v>2</v>
      </c>
      <c r="K21" cm="1">
        <f t="array" ref="K21">INDEX(military_assets!H:H,mil_ass_us_start!$B21)</f>
        <v>3</v>
      </c>
      <c r="L21" t="str" cm="1">
        <f t="array" ref="L21">INDEX(military_assets!I:I,mil_ass_us_start!$B21)</f>
        <v>USN</v>
      </c>
      <c r="M21" t="str" cm="1">
        <f t="array" ref="M21">INDEX(military_assets!J:J,mil_ass_us_start!$B21)</f>
        <v>Ship</v>
      </c>
      <c r="N21" t="str" cm="1">
        <f t="array" ref="N21">INDEX(military_assets!K:K,mil_ass_us_start!$B21)</f>
        <v>AEGIS: +2 Help Defense.</v>
      </c>
      <c r="O21" t="str" cm="1">
        <f t="array" ref="O21">INDEX(military_assets!L:L,mil_ass_us_start!$B21)</f>
        <v>Images/arleighburke.jpg</v>
      </c>
      <c r="P21" t="str" cm="1">
        <f t="array" ref="P21">INDEX(military_assets!M:M,mil_ass_us_start!$B21)</f>
        <v>The multi-mission Arleigh Burke is the most numerous ship in the US Navy.</v>
      </c>
      <c r="Q21" t="str" cm="1">
        <f t="array" ref="Q21">INDEX(military_assets!N:N,mil_ass_us_start!$B21)</f>
        <v>0.0.1</v>
      </c>
    </row>
    <row r="22" spans="1:17" x14ac:dyDescent="0.25">
      <c r="A22">
        <v>1</v>
      </c>
      <c r="B22">
        <v>10</v>
      </c>
      <c r="C22" s="3" t="s">
        <v>265</v>
      </c>
      <c r="D22" t="str" cm="1">
        <f t="array" ref="D22">INDEX(military_assets!A:A,mil_ass_us_start!$B22)</f>
        <v>Arleigh Burke Class DDG</v>
      </c>
      <c r="E22" cm="1">
        <f t="array" ref="E22">INDEX(military_assets!B:B,mil_ass_us_start!$B22)</f>
        <v>0</v>
      </c>
      <c r="F22" cm="1">
        <f t="array" ref="F22">INDEX(military_assets!C:C,mil_ass_us_start!$B22)</f>
        <v>0</v>
      </c>
      <c r="G22" cm="1">
        <f t="array" ref="G22">INDEX(military_assets!D:D,mil_ass_us_start!$B22)</f>
        <v>0</v>
      </c>
      <c r="H22" cm="1">
        <f t="array" ref="H22">INDEX(military_assets!E:E,mil_ass_us_start!$B22)</f>
        <v>2</v>
      </c>
      <c r="I22" cm="1">
        <f t="array" ref="I22">INDEX(military_assets!F:F,mil_ass_us_start!$B22)</f>
        <v>3</v>
      </c>
      <c r="J22" cm="1">
        <f t="array" ref="J22">INDEX(military_assets!G:G,mil_ass_us_start!$B22)</f>
        <v>2</v>
      </c>
      <c r="K22" cm="1">
        <f t="array" ref="K22">INDEX(military_assets!H:H,mil_ass_us_start!$B22)</f>
        <v>3</v>
      </c>
      <c r="L22" t="str" cm="1">
        <f t="array" ref="L22">INDEX(military_assets!I:I,mil_ass_us_start!$B22)</f>
        <v>USN</v>
      </c>
      <c r="M22" t="str" cm="1">
        <f t="array" ref="M22">INDEX(military_assets!J:J,mil_ass_us_start!$B22)</f>
        <v>Ship</v>
      </c>
      <c r="N22" t="str" cm="1">
        <f t="array" ref="N22">INDEX(military_assets!K:K,mil_ass_us_start!$B22)</f>
        <v>AEGIS: +2 Help Defense.</v>
      </c>
      <c r="O22" t="str" cm="1">
        <f t="array" ref="O22">INDEX(military_assets!L:L,mil_ass_us_start!$B22)</f>
        <v>Images/arleighburke.jpg</v>
      </c>
      <c r="P22" t="str" cm="1">
        <f t="array" ref="P22">INDEX(military_assets!M:M,mil_ass_us_start!$B22)</f>
        <v>The multi-mission Arleigh Burke is the most numerous ship in the US Navy.</v>
      </c>
      <c r="Q22" t="str" cm="1">
        <f t="array" ref="Q22">INDEX(military_assets!N:N,mil_ass_us_start!$B22)</f>
        <v>0.0.1</v>
      </c>
    </row>
    <row r="23" spans="1:17" x14ac:dyDescent="0.25">
      <c r="A23">
        <v>1</v>
      </c>
      <c r="B23">
        <v>10</v>
      </c>
      <c r="C23" s="3" t="s">
        <v>266</v>
      </c>
      <c r="D23" t="str" cm="1">
        <f t="array" ref="D23">INDEX(military_assets!A:A,mil_ass_us_start!$B23)</f>
        <v>Arleigh Burke Class DDG</v>
      </c>
      <c r="E23" cm="1">
        <f t="array" ref="E23">INDEX(military_assets!B:B,mil_ass_us_start!$B23)</f>
        <v>0</v>
      </c>
      <c r="F23" cm="1">
        <f t="array" ref="F23">INDEX(military_assets!C:C,mil_ass_us_start!$B23)</f>
        <v>0</v>
      </c>
      <c r="G23" cm="1">
        <f t="array" ref="G23">INDEX(military_assets!D:D,mil_ass_us_start!$B23)</f>
        <v>0</v>
      </c>
      <c r="H23" cm="1">
        <f t="array" ref="H23">INDEX(military_assets!E:E,mil_ass_us_start!$B23)</f>
        <v>2</v>
      </c>
      <c r="I23" cm="1">
        <f t="array" ref="I23">INDEX(military_assets!F:F,mil_ass_us_start!$B23)</f>
        <v>3</v>
      </c>
      <c r="J23" cm="1">
        <f t="array" ref="J23">INDEX(military_assets!G:G,mil_ass_us_start!$B23)</f>
        <v>2</v>
      </c>
      <c r="K23" cm="1">
        <f t="array" ref="K23">INDEX(military_assets!H:H,mil_ass_us_start!$B23)</f>
        <v>3</v>
      </c>
      <c r="L23" t="str" cm="1">
        <f t="array" ref="L23">INDEX(military_assets!I:I,mil_ass_us_start!$B23)</f>
        <v>USN</v>
      </c>
      <c r="M23" t="str" cm="1">
        <f t="array" ref="M23">INDEX(military_assets!J:J,mil_ass_us_start!$B23)</f>
        <v>Ship</v>
      </c>
      <c r="N23" t="str" cm="1">
        <f t="array" ref="N23">INDEX(military_assets!K:K,mil_ass_us_start!$B23)</f>
        <v>AEGIS: +2 Help Defense.</v>
      </c>
      <c r="O23" t="str" cm="1">
        <f t="array" ref="O23">INDEX(military_assets!L:L,mil_ass_us_start!$B23)</f>
        <v>Images/arleighburke.jpg</v>
      </c>
      <c r="P23" t="str" cm="1">
        <f t="array" ref="P23">INDEX(military_assets!M:M,mil_ass_us_start!$B23)</f>
        <v>The multi-mission Arleigh Burke is the most numerous ship in the US Navy.</v>
      </c>
      <c r="Q23" t="str" cm="1">
        <f t="array" ref="Q23">INDEX(military_assets!N:N,mil_ass_us_start!$B23)</f>
        <v>0.0.1</v>
      </c>
    </row>
    <row r="24" spans="1:17" x14ac:dyDescent="0.25">
      <c r="A24">
        <v>0</v>
      </c>
      <c r="B24">
        <v>11</v>
      </c>
      <c r="C24" s="3" t="s">
        <v>267</v>
      </c>
      <c r="D24" t="str" cm="1">
        <f t="array" ref="D24">INDEX(military_assets!A:A,mil_ass_us_start!$B24)</f>
        <v>Zumwalt Class DDG</v>
      </c>
      <c r="E24" cm="1">
        <f t="array" ref="E24">INDEX(military_assets!B:B,mil_ass_us_start!$B24)</f>
        <v>0</v>
      </c>
      <c r="F24" cm="1">
        <f t="array" ref="F24">INDEX(military_assets!C:C,mil_ass_us_start!$B24)</f>
        <v>0</v>
      </c>
      <c r="G24" cm="1">
        <f t="array" ref="G24">INDEX(military_assets!D:D,mil_ass_us_start!$B24)</f>
        <v>0</v>
      </c>
      <c r="H24" cm="1">
        <f t="array" ref="H24">INDEX(military_assets!E:E,mil_ass_us_start!$B24)</f>
        <v>2</v>
      </c>
      <c r="I24" cm="1">
        <f t="array" ref="I24">INDEX(military_assets!F:F,mil_ass_us_start!$B24)</f>
        <v>4</v>
      </c>
      <c r="J24" cm="1">
        <f t="array" ref="J24">INDEX(military_assets!G:G,mil_ass_us_start!$B24)</f>
        <v>3</v>
      </c>
      <c r="K24" cm="1">
        <f t="array" ref="K24">INDEX(military_assets!H:H,mil_ass_us_start!$B24)</f>
        <v>3</v>
      </c>
      <c r="L24" t="str" cm="1">
        <f t="array" ref="L24">INDEX(military_assets!I:I,mil_ass_us_start!$B24)</f>
        <v>USN</v>
      </c>
      <c r="M24" t="str" cm="1">
        <f t="array" ref="M24">INDEX(military_assets!J:J,mil_ass_us_start!$B24)</f>
        <v>Ship</v>
      </c>
      <c r="N24" t="str" cm="1">
        <f t="array" ref="N24">INDEX(military_assets!K:K,mil_ass_us_start!$B24)</f>
        <v xml:space="preserve">Hidden: Can be played face down. </v>
      </c>
      <c r="O24" t="str" cm="1">
        <f t="array" ref="O24">INDEX(military_assets!L:L,mil_ass_us_start!$B24)</f>
        <v>Images/zumwalt.jpg</v>
      </c>
      <c r="P24" t="str" cm="1">
        <f t="array" ref="P24">INDEX(military_assets!M:M,mil_ass_us_start!$B24)</f>
        <v>With a cost of $1M per shot from its main howitzer, it is important for the crew of a Zumwalt to aim carefully.</v>
      </c>
      <c r="Q24" t="str" cm="1">
        <f t="array" ref="Q24">INDEX(military_assets!N:N,mil_ass_us_start!$B24)</f>
        <v>0.0.1</v>
      </c>
    </row>
    <row r="25" spans="1:17" x14ac:dyDescent="0.25">
      <c r="A25">
        <v>0</v>
      </c>
      <c r="B25">
        <v>11</v>
      </c>
      <c r="C25" s="3" t="s">
        <v>268</v>
      </c>
      <c r="D25" t="str" cm="1">
        <f t="array" ref="D25">INDEX(military_assets!A:A,mil_ass_us_start!$B25)</f>
        <v>Zumwalt Class DDG</v>
      </c>
      <c r="E25" cm="1">
        <f t="array" ref="E25">INDEX(military_assets!B:B,mil_ass_us_start!$B25)</f>
        <v>0</v>
      </c>
      <c r="F25" cm="1">
        <f t="array" ref="F25">INDEX(military_assets!C:C,mil_ass_us_start!$B25)</f>
        <v>0</v>
      </c>
      <c r="G25" cm="1">
        <f t="array" ref="G25">INDEX(military_assets!D:D,mil_ass_us_start!$B25)</f>
        <v>0</v>
      </c>
      <c r="H25" cm="1">
        <f t="array" ref="H25">INDEX(military_assets!E:E,mil_ass_us_start!$B25)</f>
        <v>2</v>
      </c>
      <c r="I25" cm="1">
        <f t="array" ref="I25">INDEX(military_assets!F:F,mil_ass_us_start!$B25)</f>
        <v>4</v>
      </c>
      <c r="J25" cm="1">
        <f t="array" ref="J25">INDEX(military_assets!G:G,mil_ass_us_start!$B25)</f>
        <v>3</v>
      </c>
      <c r="K25" cm="1">
        <f t="array" ref="K25">INDEX(military_assets!H:H,mil_ass_us_start!$B25)</f>
        <v>3</v>
      </c>
      <c r="L25" t="str" cm="1">
        <f t="array" ref="L25">INDEX(military_assets!I:I,mil_ass_us_start!$B25)</f>
        <v>USN</v>
      </c>
      <c r="M25" t="str" cm="1">
        <f t="array" ref="M25">INDEX(military_assets!J:J,mil_ass_us_start!$B25)</f>
        <v>Ship</v>
      </c>
      <c r="N25" t="str" cm="1">
        <f t="array" ref="N25">INDEX(military_assets!K:K,mil_ass_us_start!$B25)</f>
        <v xml:space="preserve">Hidden: Can be played face down. </v>
      </c>
      <c r="O25" t="str" cm="1">
        <f t="array" ref="O25">INDEX(military_assets!L:L,mil_ass_us_start!$B25)</f>
        <v>Images/zumwalt.jpg</v>
      </c>
      <c r="P25" t="str" cm="1">
        <f t="array" ref="P25">INDEX(military_assets!M:M,mil_ass_us_start!$B25)</f>
        <v>With a cost of $1M per shot from its main howitzer, it is important for the crew of a Zumwalt to aim carefully.</v>
      </c>
      <c r="Q25" t="str" cm="1">
        <f t="array" ref="Q25">INDEX(military_assets!N:N,mil_ass_us_start!$B25)</f>
        <v>0.0.1</v>
      </c>
    </row>
    <row r="26" spans="1:17" x14ac:dyDescent="0.25">
      <c r="A26">
        <v>0</v>
      </c>
      <c r="B26">
        <v>12</v>
      </c>
      <c r="C26" s="2" t="s">
        <v>269</v>
      </c>
      <c r="D26" t="str" cm="1">
        <f t="array" ref="D26">INDEX(military_assets!A:A,mil_ass_us_start!$B26)</f>
        <v>F/A-18E Superhornet</v>
      </c>
      <c r="E26" cm="1">
        <f t="array" ref="E26">INDEX(military_assets!B:B,mil_ass_us_start!$B26)</f>
        <v>0</v>
      </c>
      <c r="F26" cm="1">
        <f t="array" ref="F26">INDEX(military_assets!C:C,mil_ass_us_start!$B26)</f>
        <v>0</v>
      </c>
      <c r="G26" cm="1">
        <f t="array" ref="G26">INDEX(military_assets!D:D,mil_ass_us_start!$B26)</f>
        <v>0</v>
      </c>
      <c r="H26" cm="1">
        <f t="array" ref="H26">INDEX(military_assets!E:E,mil_ass_us_start!$B26)</f>
        <v>4</v>
      </c>
      <c r="I26" cm="1">
        <f t="array" ref="I26">INDEX(military_assets!F:F,mil_ass_us_start!$B26)</f>
        <v>4</v>
      </c>
      <c r="J26" cm="1">
        <f t="array" ref="J26">INDEX(military_assets!G:G,mil_ass_us_start!$B26)</f>
        <v>3</v>
      </c>
      <c r="K26" cm="1">
        <f t="array" ref="K26">INDEX(military_assets!H:H,mil_ass_us_start!$B26)</f>
        <v>2</v>
      </c>
      <c r="L26" t="str" cm="1">
        <f t="array" ref="L26">INDEX(military_assets!I:I,mil_ass_us_start!$B26)</f>
        <v>USN</v>
      </c>
      <c r="M26" t="str" cm="1">
        <f t="array" ref="M26">INDEX(military_assets!J:J,mil_ass_us_start!$B26)</f>
        <v>Squadron</v>
      </c>
      <c r="N26" t="str" cm="1">
        <f t="array" ref="N26">INDEX(military_assets!K:K,mil_ass_us_start!$B26)</f>
        <v>Hidden: Can be played face down. 
CATOBAR-Compatible.</v>
      </c>
      <c r="O26" t="str" cm="1">
        <f t="array" ref="O26">INDEX(military_assets!L:L,mil_ass_us_start!$B26)</f>
        <v>Images/f18.jpg</v>
      </c>
      <c r="P26" t="str" cm="1">
        <f t="array" ref="P26">INDEX(military_assets!M:M,mil_ass_us_start!$B26)</f>
        <v>The F/A-18 is one of the longest-tenured and most battle-proven multi-role carrier aircraft in the world.</v>
      </c>
      <c r="Q26" t="str" cm="1">
        <f t="array" ref="Q26">INDEX(military_assets!N:N,mil_ass_us_start!$B26)</f>
        <v>0.0.1</v>
      </c>
    </row>
    <row r="27" spans="1:17" x14ac:dyDescent="0.25">
      <c r="A27">
        <v>0</v>
      </c>
      <c r="B27">
        <v>12</v>
      </c>
      <c r="C27" s="2" t="s">
        <v>270</v>
      </c>
      <c r="D27" t="str" cm="1">
        <f t="array" ref="D27">INDEX(military_assets!A:A,mil_ass_us_start!$B27)</f>
        <v>F/A-18E Superhornet</v>
      </c>
      <c r="E27" cm="1">
        <f t="array" ref="E27">INDEX(military_assets!B:B,mil_ass_us_start!$B27)</f>
        <v>0</v>
      </c>
      <c r="F27" cm="1">
        <f t="array" ref="F27">INDEX(military_assets!C:C,mil_ass_us_start!$B27)</f>
        <v>0</v>
      </c>
      <c r="G27" cm="1">
        <f t="array" ref="G27">INDEX(military_assets!D:D,mil_ass_us_start!$B27)</f>
        <v>0</v>
      </c>
      <c r="H27" cm="1">
        <f t="array" ref="H27">INDEX(military_assets!E:E,mil_ass_us_start!$B27)</f>
        <v>4</v>
      </c>
      <c r="I27" cm="1">
        <f t="array" ref="I27">INDEX(military_assets!F:F,mil_ass_us_start!$B27)</f>
        <v>4</v>
      </c>
      <c r="J27" cm="1">
        <f t="array" ref="J27">INDEX(military_assets!G:G,mil_ass_us_start!$B27)</f>
        <v>3</v>
      </c>
      <c r="K27" cm="1">
        <f t="array" ref="K27">INDEX(military_assets!H:H,mil_ass_us_start!$B27)</f>
        <v>2</v>
      </c>
      <c r="L27" t="str" cm="1">
        <f t="array" ref="L27">INDEX(military_assets!I:I,mil_ass_us_start!$B27)</f>
        <v>USN</v>
      </c>
      <c r="M27" t="str" cm="1">
        <f t="array" ref="M27">INDEX(military_assets!J:J,mil_ass_us_start!$B27)</f>
        <v>Squadron</v>
      </c>
      <c r="N27" t="str" cm="1">
        <f t="array" ref="N27">INDEX(military_assets!K:K,mil_ass_us_start!$B27)</f>
        <v>Hidden: Can be played face down. 
CATOBAR-Compatible.</v>
      </c>
      <c r="O27" t="str" cm="1">
        <f t="array" ref="O27">INDEX(military_assets!L:L,mil_ass_us_start!$B27)</f>
        <v>Images/f18.jpg</v>
      </c>
      <c r="P27" t="str" cm="1">
        <f t="array" ref="P27">INDEX(military_assets!M:M,mil_ass_us_start!$B27)</f>
        <v>The F/A-18 is one of the longest-tenured and most battle-proven multi-role carrier aircraft in the world.</v>
      </c>
      <c r="Q27" t="str" cm="1">
        <f t="array" ref="Q27">INDEX(military_assets!N:N,mil_ass_us_start!$B27)</f>
        <v>0.0.1</v>
      </c>
    </row>
    <row r="28" spans="1:17" x14ac:dyDescent="0.25">
      <c r="A28">
        <v>1</v>
      </c>
      <c r="B28">
        <v>12</v>
      </c>
      <c r="C28" s="2" t="s">
        <v>272</v>
      </c>
      <c r="D28" t="str" cm="1">
        <f t="array" ref="D28">INDEX(military_assets!A:A,mil_ass_us_start!$B28)</f>
        <v>F/A-18E Superhornet</v>
      </c>
      <c r="E28" cm="1">
        <f t="array" ref="E28">INDEX(military_assets!B:B,mil_ass_us_start!$B28)</f>
        <v>0</v>
      </c>
      <c r="F28" cm="1">
        <f t="array" ref="F28">INDEX(military_assets!C:C,mil_ass_us_start!$B28)</f>
        <v>0</v>
      </c>
      <c r="G28" cm="1">
        <f t="array" ref="G28">INDEX(military_assets!D:D,mil_ass_us_start!$B28)</f>
        <v>0</v>
      </c>
      <c r="H28" cm="1">
        <f t="array" ref="H28">INDEX(military_assets!E:E,mil_ass_us_start!$B28)</f>
        <v>4</v>
      </c>
      <c r="I28" cm="1">
        <f t="array" ref="I28">INDEX(military_assets!F:F,mil_ass_us_start!$B28)</f>
        <v>4</v>
      </c>
      <c r="J28" cm="1">
        <f t="array" ref="J28">INDEX(military_assets!G:G,mil_ass_us_start!$B28)</f>
        <v>3</v>
      </c>
      <c r="K28" cm="1">
        <f t="array" ref="K28">INDEX(military_assets!H:H,mil_ass_us_start!$B28)</f>
        <v>2</v>
      </c>
      <c r="L28" t="str" cm="1">
        <f t="array" ref="L28">INDEX(military_assets!I:I,mil_ass_us_start!$B28)</f>
        <v>USN</v>
      </c>
      <c r="M28" t="str" cm="1">
        <f t="array" ref="M28">INDEX(military_assets!J:J,mil_ass_us_start!$B28)</f>
        <v>Squadron</v>
      </c>
      <c r="N28" t="str" cm="1">
        <f t="array" ref="N28">INDEX(military_assets!K:K,mil_ass_us_start!$B28)</f>
        <v>Hidden: Can be played face down. 
CATOBAR-Compatible.</v>
      </c>
      <c r="O28" t="str" cm="1">
        <f t="array" ref="O28">INDEX(military_assets!L:L,mil_ass_us_start!$B28)</f>
        <v>Images/f18.jpg</v>
      </c>
      <c r="P28" t="str" cm="1">
        <f t="array" ref="P28">INDEX(military_assets!M:M,mil_ass_us_start!$B28)</f>
        <v>The F/A-18 is one of the longest-tenured and most battle-proven multi-role carrier aircraft in the world.</v>
      </c>
      <c r="Q28" t="str" cm="1">
        <f t="array" ref="Q28">INDEX(military_assets!N:N,mil_ass_us_start!$B28)</f>
        <v>0.0.1</v>
      </c>
    </row>
    <row r="29" spans="1:17" x14ac:dyDescent="0.25">
      <c r="A29">
        <v>1</v>
      </c>
      <c r="B29">
        <v>12</v>
      </c>
      <c r="C29" s="2" t="s">
        <v>271</v>
      </c>
      <c r="D29" t="str" cm="1">
        <f t="array" ref="D29">INDEX(military_assets!A:A,mil_ass_us_start!$B29)</f>
        <v>F/A-18E Superhornet</v>
      </c>
      <c r="E29" cm="1">
        <f t="array" ref="E29">INDEX(military_assets!B:B,mil_ass_us_start!$B29)</f>
        <v>0</v>
      </c>
      <c r="F29" cm="1">
        <f t="array" ref="F29">INDEX(military_assets!C:C,mil_ass_us_start!$B29)</f>
        <v>0</v>
      </c>
      <c r="G29" cm="1">
        <f t="array" ref="G29">INDEX(military_assets!D:D,mil_ass_us_start!$B29)</f>
        <v>0</v>
      </c>
      <c r="H29" cm="1">
        <f t="array" ref="H29">INDEX(military_assets!E:E,mil_ass_us_start!$B29)</f>
        <v>4</v>
      </c>
      <c r="I29" cm="1">
        <f t="array" ref="I29">INDEX(military_assets!F:F,mil_ass_us_start!$B29)</f>
        <v>4</v>
      </c>
      <c r="J29" cm="1">
        <f t="array" ref="J29">INDEX(military_assets!G:G,mil_ass_us_start!$B29)</f>
        <v>3</v>
      </c>
      <c r="K29" cm="1">
        <f t="array" ref="K29">INDEX(military_assets!H:H,mil_ass_us_start!$B29)</f>
        <v>2</v>
      </c>
      <c r="L29" t="str" cm="1">
        <f t="array" ref="L29">INDEX(military_assets!I:I,mil_ass_us_start!$B29)</f>
        <v>USN</v>
      </c>
      <c r="M29" t="str" cm="1">
        <f t="array" ref="M29">INDEX(military_assets!J:J,mil_ass_us_start!$B29)</f>
        <v>Squadron</v>
      </c>
      <c r="N29" t="str" cm="1">
        <f t="array" ref="N29">INDEX(military_assets!K:K,mil_ass_us_start!$B29)</f>
        <v>Hidden: Can be played face down. 
CATOBAR-Compatible.</v>
      </c>
      <c r="O29" t="str" cm="1">
        <f t="array" ref="O29">INDEX(military_assets!L:L,mil_ass_us_start!$B29)</f>
        <v>Images/f18.jpg</v>
      </c>
      <c r="P29" t="str" cm="1">
        <f t="array" ref="P29">INDEX(military_assets!M:M,mil_ass_us_start!$B29)</f>
        <v>The F/A-18 is one of the longest-tenured and most battle-proven multi-role carrier aircraft in the world.</v>
      </c>
      <c r="Q29" t="str" cm="1">
        <f t="array" ref="Q29">INDEX(military_assets!N:N,mil_ass_us_start!$B29)</f>
        <v>0.0.1</v>
      </c>
    </row>
    <row r="30" spans="1:17" x14ac:dyDescent="0.25">
      <c r="A30">
        <v>1</v>
      </c>
      <c r="B30">
        <v>12</v>
      </c>
      <c r="C30" s="2" t="s">
        <v>273</v>
      </c>
      <c r="D30" t="str" cm="1">
        <f t="array" ref="D30">INDEX(military_assets!A:A,mil_ass_us_start!$B30)</f>
        <v>F/A-18E Superhornet</v>
      </c>
      <c r="E30" cm="1">
        <f t="array" ref="E30">INDEX(military_assets!B:B,mil_ass_us_start!$B30)</f>
        <v>0</v>
      </c>
      <c r="F30" cm="1">
        <f t="array" ref="F30">INDEX(military_assets!C:C,mil_ass_us_start!$B30)</f>
        <v>0</v>
      </c>
      <c r="G30" cm="1">
        <f t="array" ref="G30">INDEX(military_assets!D:D,mil_ass_us_start!$B30)</f>
        <v>0</v>
      </c>
      <c r="H30" cm="1">
        <f t="array" ref="H30">INDEX(military_assets!E:E,mil_ass_us_start!$B30)</f>
        <v>4</v>
      </c>
      <c r="I30" cm="1">
        <f t="array" ref="I30">INDEX(military_assets!F:F,mil_ass_us_start!$B30)</f>
        <v>4</v>
      </c>
      <c r="J30" cm="1">
        <f t="array" ref="J30">INDEX(military_assets!G:G,mil_ass_us_start!$B30)</f>
        <v>3</v>
      </c>
      <c r="K30" cm="1">
        <f t="array" ref="K30">INDEX(military_assets!H:H,mil_ass_us_start!$B30)</f>
        <v>2</v>
      </c>
      <c r="L30" t="str" cm="1">
        <f t="array" ref="L30">INDEX(military_assets!I:I,mil_ass_us_start!$B30)</f>
        <v>USN</v>
      </c>
      <c r="M30" t="str" cm="1">
        <f t="array" ref="M30">INDEX(military_assets!J:J,mil_ass_us_start!$B30)</f>
        <v>Squadron</v>
      </c>
      <c r="N30" t="str" cm="1">
        <f t="array" ref="N30">INDEX(military_assets!K:K,mil_ass_us_start!$B30)</f>
        <v>Hidden: Can be played face down. 
CATOBAR-Compatible.</v>
      </c>
      <c r="O30" t="str" cm="1">
        <f t="array" ref="O30">INDEX(military_assets!L:L,mil_ass_us_start!$B30)</f>
        <v>Images/f18.jpg</v>
      </c>
      <c r="P30" t="str" cm="1">
        <f t="array" ref="P30">INDEX(military_assets!M:M,mil_ass_us_start!$B30)</f>
        <v>The F/A-18 is one of the longest-tenured and most battle-proven multi-role carrier aircraft in the world.</v>
      </c>
      <c r="Q30" t="str" cm="1">
        <f t="array" ref="Q30">INDEX(military_assets!N:N,mil_ass_us_start!$B30)</f>
        <v>0.0.1</v>
      </c>
    </row>
    <row r="31" spans="1:17" x14ac:dyDescent="0.25">
      <c r="A31">
        <v>0</v>
      </c>
      <c r="B31">
        <v>13</v>
      </c>
      <c r="C31" s="2" t="s">
        <v>274</v>
      </c>
      <c r="D31" t="str" cm="1">
        <f t="array" ref="D31">INDEX(military_assets!A:A,mil_ass_us_start!$B31)</f>
        <v>F-35B Lightning II</v>
      </c>
      <c r="E31" cm="1">
        <f t="array" ref="E31">INDEX(military_assets!B:B,mil_ass_us_start!$B31)</f>
        <v>0</v>
      </c>
      <c r="F31" cm="1">
        <f t="array" ref="F31">INDEX(military_assets!C:C,mil_ass_us_start!$B31)</f>
        <v>0</v>
      </c>
      <c r="G31" cm="1">
        <f t="array" ref="G31">INDEX(military_assets!D:D,mil_ass_us_start!$B31)</f>
        <v>0</v>
      </c>
      <c r="H31" cm="1">
        <f t="array" ref="H31">INDEX(military_assets!E:E,mil_ass_us_start!$B31)</f>
        <v>4</v>
      </c>
      <c r="I31" cm="1">
        <f t="array" ref="I31">INDEX(military_assets!F:F,mil_ass_us_start!$B31)</f>
        <v>3</v>
      </c>
      <c r="J31" cm="1">
        <f t="array" ref="J31">INDEX(military_assets!G:G,mil_ass_us_start!$B31)</f>
        <v>2</v>
      </c>
      <c r="K31" cm="1">
        <f t="array" ref="K31">INDEX(military_assets!H:H,mil_ass_us_start!$B31)</f>
        <v>3</v>
      </c>
      <c r="L31" t="str" cm="1">
        <f t="array" ref="L31">INDEX(military_assets!I:I,mil_ass_us_start!$B31)</f>
        <v>USN</v>
      </c>
      <c r="M31" t="str" cm="1">
        <f t="array" ref="M31">INDEX(military_assets!J:J,mil_ass_us_start!$B31)</f>
        <v>Squadron</v>
      </c>
      <c r="N31" t="str" cm="1">
        <f t="array" ref="N31">INDEX(military_assets!K:K,mil_ass_us_start!$B31)</f>
        <v>Hidden: Can be played face down. 
Ambush: This asset deals damage during the Ambush Damage Step.
VTOL-Compatible.</v>
      </c>
      <c r="O31" t="str" cm="1">
        <f t="array" ref="O31">INDEX(military_assets!L:L,mil_ass_us_start!$B31)</f>
        <v>Images/f35b.jpg</v>
      </c>
      <c r="P31" t="str" cm="1">
        <f t="array" ref="P31">INDEX(military_assets!M:M,mil_ass_us_start!$B31)</f>
        <v>The F-35B is a special variant of the F-35 capable of taking off and landing vertically. This allows it to be stationed on smaller carriers that have typically not been able to field cutting-edge aircraft.</v>
      </c>
      <c r="Q31" t="str" cm="1">
        <f t="array" ref="Q31">INDEX(military_assets!N:N,mil_ass_us_start!$B31)</f>
        <v>0.0.1</v>
      </c>
    </row>
    <row r="32" spans="1:17" x14ac:dyDescent="0.25">
      <c r="A32">
        <v>0</v>
      </c>
      <c r="B32">
        <v>13</v>
      </c>
      <c r="C32" s="2" t="s">
        <v>275</v>
      </c>
      <c r="D32" t="str" cm="1">
        <f t="array" ref="D32">INDEX(military_assets!A:A,mil_ass_us_start!$B32)</f>
        <v>F-35B Lightning II</v>
      </c>
      <c r="E32" cm="1">
        <f t="array" ref="E32">INDEX(military_assets!B:B,mil_ass_us_start!$B32)</f>
        <v>0</v>
      </c>
      <c r="F32" cm="1">
        <f t="array" ref="F32">INDEX(military_assets!C:C,mil_ass_us_start!$B32)</f>
        <v>0</v>
      </c>
      <c r="G32" cm="1">
        <f t="array" ref="G32">INDEX(military_assets!D:D,mil_ass_us_start!$B32)</f>
        <v>0</v>
      </c>
      <c r="H32" cm="1">
        <f t="array" ref="H32">INDEX(military_assets!E:E,mil_ass_us_start!$B32)</f>
        <v>4</v>
      </c>
      <c r="I32" cm="1">
        <f t="array" ref="I32">INDEX(military_assets!F:F,mil_ass_us_start!$B32)</f>
        <v>3</v>
      </c>
      <c r="J32" cm="1">
        <f t="array" ref="J32">INDEX(military_assets!G:G,mil_ass_us_start!$B32)</f>
        <v>2</v>
      </c>
      <c r="K32" cm="1">
        <f t="array" ref="K32">INDEX(military_assets!H:H,mil_ass_us_start!$B32)</f>
        <v>3</v>
      </c>
      <c r="L32" t="str" cm="1">
        <f t="array" ref="L32">INDEX(military_assets!I:I,mil_ass_us_start!$B32)</f>
        <v>USN</v>
      </c>
      <c r="M32" t="str" cm="1">
        <f t="array" ref="M32">INDEX(military_assets!J:J,mil_ass_us_start!$B32)</f>
        <v>Squadron</v>
      </c>
      <c r="N32" t="str" cm="1">
        <f t="array" ref="N32">INDEX(military_assets!K:K,mil_ass_us_start!$B32)</f>
        <v>Hidden: Can be played face down. 
Ambush: This asset deals damage during the Ambush Damage Step.
VTOL-Compatible.</v>
      </c>
      <c r="O32" t="str" cm="1">
        <f t="array" ref="O32">INDEX(military_assets!L:L,mil_ass_us_start!$B32)</f>
        <v>Images/f35b.jpg</v>
      </c>
      <c r="P32" t="str" cm="1">
        <f t="array" ref="P32">INDEX(military_assets!M:M,mil_ass_us_start!$B32)</f>
        <v>The F-35B is a special variant of the F-35 capable of taking off and landing vertically. This allows it to be stationed on smaller carriers that have typically not been able to field cutting-edge aircraft.</v>
      </c>
      <c r="Q32" t="str" cm="1">
        <f t="array" ref="Q32">INDEX(military_assets!N:N,mil_ass_us_start!$B32)</f>
        <v>0.0.1</v>
      </c>
    </row>
    <row r="33" spans="1:17" x14ac:dyDescent="0.25">
      <c r="A33">
        <v>0</v>
      </c>
      <c r="B33">
        <v>13</v>
      </c>
      <c r="C33" s="2" t="s">
        <v>276</v>
      </c>
      <c r="D33" t="str" cm="1">
        <f t="array" ref="D33">INDEX(military_assets!A:A,mil_ass_us_start!$B33)</f>
        <v>F-35B Lightning II</v>
      </c>
      <c r="E33" cm="1">
        <f t="array" ref="E33">INDEX(military_assets!B:B,mil_ass_us_start!$B33)</f>
        <v>0</v>
      </c>
      <c r="F33" cm="1">
        <f t="array" ref="F33">INDEX(military_assets!C:C,mil_ass_us_start!$B33)</f>
        <v>0</v>
      </c>
      <c r="G33" cm="1">
        <f t="array" ref="G33">INDEX(military_assets!D:D,mil_ass_us_start!$B33)</f>
        <v>0</v>
      </c>
      <c r="H33" cm="1">
        <f t="array" ref="H33">INDEX(military_assets!E:E,mil_ass_us_start!$B33)</f>
        <v>4</v>
      </c>
      <c r="I33" cm="1">
        <f t="array" ref="I33">INDEX(military_assets!F:F,mil_ass_us_start!$B33)</f>
        <v>3</v>
      </c>
      <c r="J33" cm="1">
        <f t="array" ref="J33">INDEX(military_assets!G:G,mil_ass_us_start!$B33)</f>
        <v>2</v>
      </c>
      <c r="K33" cm="1">
        <f t="array" ref="K33">INDEX(military_assets!H:H,mil_ass_us_start!$B33)</f>
        <v>3</v>
      </c>
      <c r="L33" t="str" cm="1">
        <f t="array" ref="L33">INDEX(military_assets!I:I,mil_ass_us_start!$B33)</f>
        <v>USN</v>
      </c>
      <c r="M33" t="str" cm="1">
        <f t="array" ref="M33">INDEX(military_assets!J:J,mil_ass_us_start!$B33)</f>
        <v>Squadron</v>
      </c>
      <c r="N33" t="str" cm="1">
        <f t="array" ref="N33">INDEX(military_assets!K:K,mil_ass_us_start!$B33)</f>
        <v>Hidden: Can be played face down. 
Ambush: This asset deals damage during the Ambush Damage Step.
VTOL-Compatible.</v>
      </c>
      <c r="O33" t="str" cm="1">
        <f t="array" ref="O33">INDEX(military_assets!L:L,mil_ass_us_start!$B33)</f>
        <v>Images/f35b.jpg</v>
      </c>
      <c r="P33" t="str" cm="1">
        <f t="array" ref="P33">INDEX(military_assets!M:M,mil_ass_us_start!$B33)</f>
        <v>The F-35B is a special variant of the F-35 capable of taking off and landing vertically. This allows it to be stationed on smaller carriers that have typically not been able to field cutting-edge aircraft.</v>
      </c>
      <c r="Q33" t="str" cm="1">
        <f t="array" ref="Q33">INDEX(military_assets!N:N,mil_ass_us_start!$B33)</f>
        <v>0.0.1</v>
      </c>
    </row>
    <row r="34" spans="1:17" x14ac:dyDescent="0.25">
      <c r="A34">
        <v>1</v>
      </c>
      <c r="B34">
        <v>14</v>
      </c>
      <c r="C34" s="2" t="s">
        <v>277</v>
      </c>
      <c r="D34" t="str" cm="1">
        <f t="array" ref="D34">INDEX(military_assets!A:A,mil_ass_us_start!$B34)</f>
        <v>F-35C  Lightning II</v>
      </c>
      <c r="E34" cm="1">
        <f t="array" ref="E34">INDEX(military_assets!B:B,mil_ass_us_start!$B34)</f>
        <v>0</v>
      </c>
      <c r="F34" cm="1">
        <f t="array" ref="F34">INDEX(military_assets!C:C,mil_ass_us_start!$B34)</f>
        <v>0</v>
      </c>
      <c r="G34" cm="1">
        <f t="array" ref="G34">INDEX(military_assets!D:D,mil_ass_us_start!$B34)</f>
        <v>0</v>
      </c>
      <c r="H34" cm="1">
        <f t="array" ref="H34">INDEX(military_assets!E:E,mil_ass_us_start!$B34)</f>
        <v>4</v>
      </c>
      <c r="I34" cm="1">
        <f t="array" ref="I34">INDEX(military_assets!F:F,mil_ass_us_start!$B34)</f>
        <v>4</v>
      </c>
      <c r="J34" cm="1">
        <f t="array" ref="J34">INDEX(military_assets!G:G,mil_ass_us_start!$B34)</f>
        <v>2</v>
      </c>
      <c r="K34" cm="1">
        <f t="array" ref="K34">INDEX(military_assets!H:H,mil_ass_us_start!$B34)</f>
        <v>2</v>
      </c>
      <c r="L34" t="str" cm="1">
        <f t="array" ref="L34">INDEX(military_assets!I:I,mil_ass_us_start!$B34)</f>
        <v>USN</v>
      </c>
      <c r="M34" t="str" cm="1">
        <f t="array" ref="M34">INDEX(military_assets!J:J,mil_ass_us_start!$B34)</f>
        <v>Squadron</v>
      </c>
      <c r="N34" t="str" cm="1">
        <f t="array" ref="N34">INDEX(military_assets!K:K,mil_ass_us_start!$B34)</f>
        <v>Hidden: Can be played face down. 
Ambush: This asset deals damage during the Ambush Damage Step.
CATOBAR-Compatible.</v>
      </c>
      <c r="O34" t="str" cm="1">
        <f t="array" ref="O34">INDEX(military_assets!L:L,mil_ass_us_start!$B34)</f>
        <v>Images/f35c.jpg</v>
      </c>
      <c r="P34" t="str" cm="1">
        <f t="array" ref="P34">INDEX(military_assets!M:M,mil_ass_us_start!$B34)</f>
        <v>The F-35 acquisition program cost of just under $450 billion USD would be enough to buy 450 billion $1 cheeseburgers - enough to kill all humans on earth.</v>
      </c>
      <c r="Q34" t="str" cm="1">
        <f t="array" ref="Q34">INDEX(military_assets!N:N,mil_ass_us_start!$B34)</f>
        <v>0.0.1</v>
      </c>
    </row>
    <row r="35" spans="1:17" x14ac:dyDescent="0.25">
      <c r="A35">
        <v>1</v>
      </c>
      <c r="B35">
        <v>14</v>
      </c>
      <c r="C35" s="2" t="s">
        <v>278</v>
      </c>
      <c r="D35" t="str" cm="1">
        <f t="array" ref="D35">INDEX(military_assets!A:A,mil_ass_us_start!$B35)</f>
        <v>F-35C  Lightning II</v>
      </c>
      <c r="E35" cm="1">
        <f t="array" ref="E35">INDEX(military_assets!B:B,mil_ass_us_start!$B35)</f>
        <v>0</v>
      </c>
      <c r="F35" cm="1">
        <f t="array" ref="F35">INDEX(military_assets!C:C,mil_ass_us_start!$B35)</f>
        <v>0</v>
      </c>
      <c r="G35" cm="1">
        <f t="array" ref="G35">INDEX(military_assets!D:D,mil_ass_us_start!$B35)</f>
        <v>0</v>
      </c>
      <c r="H35" cm="1">
        <f t="array" ref="H35">INDEX(military_assets!E:E,mil_ass_us_start!$B35)</f>
        <v>4</v>
      </c>
      <c r="I35" cm="1">
        <f t="array" ref="I35">INDEX(military_assets!F:F,mil_ass_us_start!$B35)</f>
        <v>4</v>
      </c>
      <c r="J35" cm="1">
        <f t="array" ref="J35">INDEX(military_assets!G:G,mil_ass_us_start!$B35)</f>
        <v>2</v>
      </c>
      <c r="K35" cm="1">
        <f t="array" ref="K35">INDEX(military_assets!H:H,mil_ass_us_start!$B35)</f>
        <v>2</v>
      </c>
      <c r="L35" t="str" cm="1">
        <f t="array" ref="L35">INDEX(military_assets!I:I,mil_ass_us_start!$B35)</f>
        <v>USN</v>
      </c>
      <c r="M35" t="str" cm="1">
        <f t="array" ref="M35">INDEX(military_assets!J:J,mil_ass_us_start!$B35)</f>
        <v>Squadron</v>
      </c>
      <c r="N35" t="str" cm="1">
        <f t="array" ref="N35">INDEX(military_assets!K:K,mil_ass_us_start!$B35)</f>
        <v>Hidden: Can be played face down. 
Ambush: This asset deals damage during the Ambush Damage Step.
CATOBAR-Compatible.</v>
      </c>
      <c r="O35" t="str" cm="1">
        <f t="array" ref="O35">INDEX(military_assets!L:L,mil_ass_us_start!$B35)</f>
        <v>Images/f35c.jpg</v>
      </c>
      <c r="P35" t="str" cm="1">
        <f t="array" ref="P35">INDEX(military_assets!M:M,mil_ass_us_start!$B35)</f>
        <v>The F-35 acquisition program cost of just under $450 billion USD would be enough to buy 450 billion $1 cheeseburgers - enough to kill all humans on earth.</v>
      </c>
      <c r="Q35" t="str" cm="1">
        <f t="array" ref="Q35">INDEX(military_assets!N:N,mil_ass_us_start!$B35)</f>
        <v>0.0.1</v>
      </c>
    </row>
    <row r="36" spans="1:17" x14ac:dyDescent="0.25">
      <c r="A36">
        <v>1</v>
      </c>
      <c r="B36">
        <v>14</v>
      </c>
      <c r="C36" s="2" t="s">
        <v>279</v>
      </c>
      <c r="D36" t="str" cm="1">
        <f t="array" ref="D36">INDEX(military_assets!A:A,mil_ass_us_start!$B36)</f>
        <v>F-35C  Lightning II</v>
      </c>
      <c r="E36" cm="1">
        <f t="array" ref="E36">INDEX(military_assets!B:B,mil_ass_us_start!$B36)</f>
        <v>0</v>
      </c>
      <c r="F36" cm="1">
        <f t="array" ref="F36">INDEX(military_assets!C:C,mil_ass_us_start!$B36)</f>
        <v>0</v>
      </c>
      <c r="G36" cm="1">
        <f t="array" ref="G36">INDEX(military_assets!D:D,mil_ass_us_start!$B36)</f>
        <v>0</v>
      </c>
      <c r="H36" cm="1">
        <f t="array" ref="H36">INDEX(military_assets!E:E,mil_ass_us_start!$B36)</f>
        <v>4</v>
      </c>
      <c r="I36" cm="1">
        <f t="array" ref="I36">INDEX(military_assets!F:F,mil_ass_us_start!$B36)</f>
        <v>4</v>
      </c>
      <c r="J36" cm="1">
        <f t="array" ref="J36">INDEX(military_assets!G:G,mil_ass_us_start!$B36)</f>
        <v>2</v>
      </c>
      <c r="K36" cm="1">
        <f t="array" ref="K36">INDEX(military_assets!H:H,mil_ass_us_start!$B36)</f>
        <v>2</v>
      </c>
      <c r="L36" t="str" cm="1">
        <f t="array" ref="L36">INDEX(military_assets!I:I,mil_ass_us_start!$B36)</f>
        <v>USN</v>
      </c>
      <c r="M36" t="str" cm="1">
        <f t="array" ref="M36">INDEX(military_assets!J:J,mil_ass_us_start!$B36)</f>
        <v>Squadron</v>
      </c>
      <c r="N36" t="str" cm="1">
        <f t="array" ref="N36">INDEX(military_assets!K:K,mil_ass_us_start!$B36)</f>
        <v>Hidden: Can be played face down. 
Ambush: This asset deals damage during the Ambush Damage Step.
CATOBAR-Compatible.</v>
      </c>
      <c r="O36" t="str" cm="1">
        <f t="array" ref="O36">INDEX(military_assets!L:L,mil_ass_us_start!$B36)</f>
        <v>Images/f35c.jpg</v>
      </c>
      <c r="P36" t="str" cm="1">
        <f t="array" ref="P36">INDEX(military_assets!M:M,mil_ass_us_start!$B36)</f>
        <v>The F-35 acquisition program cost of just under $450 billion USD would be enough to buy 450 billion $1 cheeseburgers - enough to kill all humans on earth.</v>
      </c>
      <c r="Q36" t="str" cm="1">
        <f t="array" ref="Q36">INDEX(military_assets!N:N,mil_ass_us_start!$B36)</f>
        <v>0.0.1</v>
      </c>
    </row>
    <row r="37" spans="1:17" x14ac:dyDescent="0.25">
      <c r="A37">
        <v>0</v>
      </c>
      <c r="B37">
        <v>15</v>
      </c>
      <c r="C37" s="2" t="s">
        <v>280</v>
      </c>
      <c r="D37" t="str" cm="1">
        <f t="array" ref="D37">INDEX(military_assets!A:A,mil_ass_us_start!$B37)</f>
        <v>AV-8B Harrier II</v>
      </c>
      <c r="E37" cm="1">
        <f t="array" ref="E37">INDEX(military_assets!B:B,mil_ass_us_start!$B37)</f>
        <v>0</v>
      </c>
      <c r="F37" cm="1">
        <f t="array" ref="F37">INDEX(military_assets!C:C,mil_ass_us_start!$B37)</f>
        <v>0</v>
      </c>
      <c r="G37" cm="1">
        <f t="array" ref="G37">INDEX(military_assets!D:D,mil_ass_us_start!$B37)</f>
        <v>0</v>
      </c>
      <c r="H37" cm="1">
        <f t="array" ref="H37">INDEX(military_assets!E:E,mil_ass_us_start!$B37)</f>
        <v>3</v>
      </c>
      <c r="I37" cm="1">
        <f t="array" ref="I37">INDEX(military_assets!F:F,mil_ass_us_start!$B37)</f>
        <v>3</v>
      </c>
      <c r="J37" cm="1">
        <f t="array" ref="J37">INDEX(military_assets!G:G,mil_ass_us_start!$B37)</f>
        <v>2</v>
      </c>
      <c r="K37" cm="1">
        <f t="array" ref="K37">INDEX(military_assets!H:H,mil_ass_us_start!$B37)</f>
        <v>1</v>
      </c>
      <c r="L37" t="str" cm="1">
        <f t="array" ref="L37">INDEX(military_assets!I:I,mil_ass_us_start!$B37)</f>
        <v>USN</v>
      </c>
      <c r="M37" t="str" cm="1">
        <f t="array" ref="M37">INDEX(military_assets!J:J,mil_ass_us_start!$B37)</f>
        <v>Squadron</v>
      </c>
      <c r="N37" t="str" cm="1">
        <f t="array" ref="N37">INDEX(military_assets!K:K,mil_ass_us_start!$B37)</f>
        <v>Hidden: Can be played face down. 
VTOL-Compatible.</v>
      </c>
      <c r="O37" t="str" cm="1">
        <f t="array" ref="O37">INDEX(military_assets!L:L,mil_ass_us_start!$B37)</f>
        <v>Images/harrier.jpg</v>
      </c>
      <c r="P37" t="str" cm="1">
        <f t="array" ref="P37">INDEX(military_assets!M:M,mil_ass_us_start!$B37)</f>
        <v>A Pepsi ad campaign promised to award a Harrier to anyone who collected enough Pepsi points- a promise Pepsi did not keep. During its service history, the Harrier has proven it is more reliable than Pepsi Co.</v>
      </c>
      <c r="Q37" t="str" cm="1">
        <f t="array" ref="Q37">INDEX(military_assets!N:N,mil_ass_us_start!$B37)</f>
        <v>0.0.1</v>
      </c>
    </row>
    <row r="38" spans="1:17" x14ac:dyDescent="0.25">
      <c r="A38">
        <v>0</v>
      </c>
      <c r="B38">
        <v>15</v>
      </c>
      <c r="C38" s="2" t="s">
        <v>281</v>
      </c>
      <c r="D38" t="str" cm="1">
        <f t="array" ref="D38">INDEX(military_assets!A:A,mil_ass_us_start!$B38)</f>
        <v>AV-8B Harrier II</v>
      </c>
      <c r="E38" cm="1">
        <f t="array" ref="E38">INDEX(military_assets!B:B,mil_ass_us_start!$B38)</f>
        <v>0</v>
      </c>
      <c r="F38" cm="1">
        <f t="array" ref="F38">INDEX(military_assets!C:C,mil_ass_us_start!$B38)</f>
        <v>0</v>
      </c>
      <c r="G38" cm="1">
        <f t="array" ref="G38">INDEX(military_assets!D:D,mil_ass_us_start!$B38)</f>
        <v>0</v>
      </c>
      <c r="H38" cm="1">
        <f t="array" ref="H38">INDEX(military_assets!E:E,mil_ass_us_start!$B38)</f>
        <v>3</v>
      </c>
      <c r="I38" cm="1">
        <f t="array" ref="I38">INDEX(military_assets!F:F,mil_ass_us_start!$B38)</f>
        <v>3</v>
      </c>
      <c r="J38" cm="1">
        <f t="array" ref="J38">INDEX(military_assets!G:G,mil_ass_us_start!$B38)</f>
        <v>2</v>
      </c>
      <c r="K38" cm="1">
        <f t="array" ref="K38">INDEX(military_assets!H:H,mil_ass_us_start!$B38)</f>
        <v>1</v>
      </c>
      <c r="L38" t="str" cm="1">
        <f t="array" ref="L38">INDEX(military_assets!I:I,mil_ass_us_start!$B38)</f>
        <v>USN</v>
      </c>
      <c r="M38" t="str" cm="1">
        <f t="array" ref="M38">INDEX(military_assets!J:J,mil_ass_us_start!$B38)</f>
        <v>Squadron</v>
      </c>
      <c r="N38" t="str" cm="1">
        <f t="array" ref="N38">INDEX(military_assets!K:K,mil_ass_us_start!$B38)</f>
        <v>Hidden: Can be played face down. 
VTOL-Compatible.</v>
      </c>
      <c r="O38" t="str" cm="1">
        <f t="array" ref="O38">INDEX(military_assets!L:L,mil_ass_us_start!$B38)</f>
        <v>Images/harrier.jpg</v>
      </c>
      <c r="P38" t="str" cm="1">
        <f t="array" ref="P38">INDEX(military_assets!M:M,mil_ass_us_start!$B38)</f>
        <v>A Pepsi ad campaign promised to award a Harrier to anyone who collected enough Pepsi points- a promise Pepsi did not keep. During its service history, the Harrier has proven it is more reliable than Pepsi Co.</v>
      </c>
      <c r="Q38" t="str" cm="1">
        <f t="array" ref="Q38">INDEX(military_assets!N:N,mil_ass_us_start!$B38)</f>
        <v>0.0.1</v>
      </c>
    </row>
    <row r="39" spans="1:17" x14ac:dyDescent="0.25">
      <c r="A39">
        <v>0</v>
      </c>
      <c r="B39">
        <v>15</v>
      </c>
      <c r="C39" s="2" t="s">
        <v>282</v>
      </c>
      <c r="D39" t="str" cm="1">
        <f t="array" ref="D39">INDEX(military_assets!A:A,mil_ass_us_start!$B39)</f>
        <v>AV-8B Harrier II</v>
      </c>
      <c r="E39" cm="1">
        <f t="array" ref="E39">INDEX(military_assets!B:B,mil_ass_us_start!$B39)</f>
        <v>0</v>
      </c>
      <c r="F39" cm="1">
        <f t="array" ref="F39">INDEX(military_assets!C:C,mil_ass_us_start!$B39)</f>
        <v>0</v>
      </c>
      <c r="G39" cm="1">
        <f t="array" ref="G39">INDEX(military_assets!D:D,mil_ass_us_start!$B39)</f>
        <v>0</v>
      </c>
      <c r="H39" cm="1">
        <f t="array" ref="H39">INDEX(military_assets!E:E,mil_ass_us_start!$B39)</f>
        <v>3</v>
      </c>
      <c r="I39" cm="1">
        <f t="array" ref="I39">INDEX(military_assets!F:F,mil_ass_us_start!$B39)</f>
        <v>3</v>
      </c>
      <c r="J39" cm="1">
        <f t="array" ref="J39">INDEX(military_assets!G:G,mil_ass_us_start!$B39)</f>
        <v>2</v>
      </c>
      <c r="K39" cm="1">
        <f t="array" ref="K39">INDEX(military_assets!H:H,mil_ass_us_start!$B39)</f>
        <v>1</v>
      </c>
      <c r="L39" t="str" cm="1">
        <f t="array" ref="L39">INDEX(military_assets!I:I,mil_ass_us_start!$B39)</f>
        <v>USN</v>
      </c>
      <c r="M39" t="str" cm="1">
        <f t="array" ref="M39">INDEX(military_assets!J:J,mil_ass_us_start!$B39)</f>
        <v>Squadron</v>
      </c>
      <c r="N39" t="str" cm="1">
        <f t="array" ref="N39">INDEX(military_assets!K:K,mil_ass_us_start!$B39)</f>
        <v>Hidden: Can be played face down. 
VTOL-Compatible.</v>
      </c>
      <c r="O39" t="str" cm="1">
        <f t="array" ref="O39">INDEX(military_assets!L:L,mil_ass_us_start!$B39)</f>
        <v>Images/harrier.jpg</v>
      </c>
      <c r="P39" t="str" cm="1">
        <f t="array" ref="P39">INDEX(military_assets!M:M,mil_ass_us_start!$B39)</f>
        <v>A Pepsi ad campaign promised to award a Harrier to anyone who collected enough Pepsi points- a promise Pepsi did not keep. During its service history, the Harrier has proven it is more reliable than Pepsi Co.</v>
      </c>
      <c r="Q39" t="str" cm="1">
        <f t="array" ref="Q39">INDEX(military_assets!N:N,mil_ass_us_start!$B39)</f>
        <v>0.0.1</v>
      </c>
    </row>
    <row r="40" spans="1:17" x14ac:dyDescent="0.25">
      <c r="A40">
        <v>0</v>
      </c>
      <c r="B40">
        <v>15</v>
      </c>
      <c r="C40" s="2" t="s">
        <v>283</v>
      </c>
      <c r="D40" t="str" cm="1">
        <f t="array" ref="D40">INDEX(military_assets!A:A,mil_ass_us_start!$B40)</f>
        <v>AV-8B Harrier II</v>
      </c>
      <c r="E40" cm="1">
        <f t="array" ref="E40">INDEX(military_assets!B:B,mil_ass_us_start!$B40)</f>
        <v>0</v>
      </c>
      <c r="F40" cm="1">
        <f t="array" ref="F40">INDEX(military_assets!C:C,mil_ass_us_start!$B40)</f>
        <v>0</v>
      </c>
      <c r="G40" cm="1">
        <f t="array" ref="G40">INDEX(military_assets!D:D,mil_ass_us_start!$B40)</f>
        <v>0</v>
      </c>
      <c r="H40" cm="1">
        <f t="array" ref="H40">INDEX(military_assets!E:E,mil_ass_us_start!$B40)</f>
        <v>3</v>
      </c>
      <c r="I40" cm="1">
        <f t="array" ref="I40">INDEX(military_assets!F:F,mil_ass_us_start!$B40)</f>
        <v>3</v>
      </c>
      <c r="J40" cm="1">
        <f t="array" ref="J40">INDEX(military_assets!G:G,mil_ass_us_start!$B40)</f>
        <v>2</v>
      </c>
      <c r="K40" cm="1">
        <f t="array" ref="K40">INDEX(military_assets!H:H,mil_ass_us_start!$B40)</f>
        <v>1</v>
      </c>
      <c r="L40" t="str" cm="1">
        <f t="array" ref="L40">INDEX(military_assets!I:I,mil_ass_us_start!$B40)</f>
        <v>USN</v>
      </c>
      <c r="M40" t="str" cm="1">
        <f t="array" ref="M40">INDEX(military_assets!J:J,mil_ass_us_start!$B40)</f>
        <v>Squadron</v>
      </c>
      <c r="N40" t="str" cm="1">
        <f t="array" ref="N40">INDEX(military_assets!K:K,mil_ass_us_start!$B40)</f>
        <v>Hidden: Can be played face down. 
VTOL-Compatible.</v>
      </c>
      <c r="O40" t="str" cm="1">
        <f t="array" ref="O40">INDEX(military_assets!L:L,mil_ass_us_start!$B40)</f>
        <v>Images/harrier.jpg</v>
      </c>
      <c r="P40" t="str" cm="1">
        <f t="array" ref="P40">INDEX(military_assets!M:M,mil_ass_us_start!$B40)</f>
        <v>A Pepsi ad campaign promised to award a Harrier to anyone who collected enough Pepsi points- a promise Pepsi did not keep. During its service history, the Harrier has proven it is more reliable than Pepsi Co.</v>
      </c>
      <c r="Q40" t="str" cm="1">
        <f t="array" ref="Q40">INDEX(military_assets!N:N,mil_ass_us_start!$B40)</f>
        <v>0.0.1</v>
      </c>
    </row>
    <row r="41" spans="1:17" x14ac:dyDescent="0.25">
      <c r="A41">
        <v>0</v>
      </c>
      <c r="B41">
        <v>15</v>
      </c>
      <c r="C41" s="2" t="s">
        <v>284</v>
      </c>
      <c r="D41" t="str" cm="1">
        <f t="array" ref="D41">INDEX(military_assets!A:A,mil_ass_us_start!$B41)</f>
        <v>AV-8B Harrier II</v>
      </c>
      <c r="E41" cm="1">
        <f t="array" ref="E41">INDEX(military_assets!B:B,mil_ass_us_start!$B41)</f>
        <v>0</v>
      </c>
      <c r="F41" cm="1">
        <f t="array" ref="F41">INDEX(military_assets!C:C,mil_ass_us_start!$B41)</f>
        <v>0</v>
      </c>
      <c r="G41" cm="1">
        <f t="array" ref="G41">INDEX(military_assets!D:D,mil_ass_us_start!$B41)</f>
        <v>0</v>
      </c>
      <c r="H41" cm="1">
        <f t="array" ref="H41">INDEX(military_assets!E:E,mil_ass_us_start!$B41)</f>
        <v>3</v>
      </c>
      <c r="I41" cm="1">
        <f t="array" ref="I41">INDEX(military_assets!F:F,mil_ass_us_start!$B41)</f>
        <v>3</v>
      </c>
      <c r="J41" cm="1">
        <f t="array" ref="J41">INDEX(military_assets!G:G,mil_ass_us_start!$B41)</f>
        <v>2</v>
      </c>
      <c r="K41" cm="1">
        <f t="array" ref="K41">INDEX(military_assets!H:H,mil_ass_us_start!$B41)</f>
        <v>1</v>
      </c>
      <c r="L41" t="str" cm="1">
        <f t="array" ref="L41">INDEX(military_assets!I:I,mil_ass_us_start!$B41)</f>
        <v>USN</v>
      </c>
      <c r="M41" t="str" cm="1">
        <f t="array" ref="M41">INDEX(military_assets!J:J,mil_ass_us_start!$B41)</f>
        <v>Squadron</v>
      </c>
      <c r="N41" t="str" cm="1">
        <f t="array" ref="N41">INDEX(military_assets!K:K,mil_ass_us_start!$B41)</f>
        <v>Hidden: Can be played face down. 
VTOL-Compatible.</v>
      </c>
      <c r="O41" t="str" cm="1">
        <f t="array" ref="O41">INDEX(military_assets!L:L,mil_ass_us_start!$B41)</f>
        <v>Images/harrier.jpg</v>
      </c>
      <c r="P41" t="str" cm="1">
        <f t="array" ref="P41">INDEX(military_assets!M:M,mil_ass_us_start!$B41)</f>
        <v>A Pepsi ad campaign promised to award a Harrier to anyone who collected enough Pepsi points- a promise Pepsi did not keep. During its service history, the Harrier has proven it is more reliable than Pepsi Co.</v>
      </c>
      <c r="Q41" t="str" cm="1">
        <f t="array" ref="Q41">INDEX(military_assets!N:N,mil_ass_us_start!$B41)</f>
        <v>0.0.1</v>
      </c>
    </row>
    <row r="42" spans="1:17" x14ac:dyDescent="0.25">
      <c r="C42" s="3"/>
    </row>
    <row r="43" spans="1:17" x14ac:dyDescent="0.25">
      <c r="C43" s="3"/>
    </row>
    <row r="44" spans="1:17" x14ac:dyDescent="0.25">
      <c r="C44" s="3"/>
    </row>
    <row r="45" spans="1:17" x14ac:dyDescent="0.25">
      <c r="C45" s="3"/>
    </row>
    <row r="46" spans="1:17" x14ac:dyDescent="0.25">
      <c r="C46" s="3"/>
    </row>
    <row r="47" spans="1:17" x14ac:dyDescent="0.25">
      <c r="C47" s="3"/>
    </row>
    <row r="48" spans="1:17" x14ac:dyDescent="0.25">
      <c r="C48" s="3"/>
    </row>
    <row r="49" spans="3:3" x14ac:dyDescent="0.25">
      <c r="C49" s="3"/>
    </row>
    <row r="50" spans="3:3" x14ac:dyDescent="0.25">
      <c r="C50" s="3"/>
    </row>
    <row r="51" spans="3:3" x14ac:dyDescent="0.25">
      <c r="C51" s="3"/>
    </row>
    <row r="52" spans="3:3" x14ac:dyDescent="0.25">
      <c r="C52" s="3"/>
    </row>
    <row r="53" spans="3:3" x14ac:dyDescent="0.25">
      <c r="C53" s="3"/>
    </row>
    <row r="54" spans="3:3" x14ac:dyDescent="0.25">
      <c r="C54" s="3"/>
    </row>
    <row r="55" spans="3:3" x14ac:dyDescent="0.25">
      <c r="C55" s="3"/>
    </row>
    <row r="56" spans="3:3" x14ac:dyDescent="0.25">
      <c r="C56" s="3"/>
    </row>
    <row r="57" spans="3:3" x14ac:dyDescent="0.25">
      <c r="C57" s="3"/>
    </row>
    <row r="58" spans="3:3" x14ac:dyDescent="0.25">
      <c r="C58" s="3"/>
    </row>
    <row r="59" spans="3:3" x14ac:dyDescent="0.25">
      <c r="C59" s="3"/>
    </row>
    <row r="60" spans="3:3" x14ac:dyDescent="0.25">
      <c r="C60" s="3"/>
    </row>
    <row r="61" spans="3:3" x14ac:dyDescent="0.25">
      <c r="C61" s="3"/>
    </row>
    <row r="62" spans="3:3" x14ac:dyDescent="0.25">
      <c r="C62" s="3"/>
    </row>
    <row r="63" spans="3:3" x14ac:dyDescent="0.25">
      <c r="C63" s="3"/>
    </row>
    <row r="64" spans="3:3" x14ac:dyDescent="0.25">
      <c r="C64" s="3"/>
    </row>
    <row r="65" spans="3:3" x14ac:dyDescent="0.25">
      <c r="C65" s="3"/>
    </row>
    <row r="66" spans="3:3" x14ac:dyDescent="0.25">
      <c r="C66" s="3"/>
    </row>
    <row r="67" spans="3:3" x14ac:dyDescent="0.25">
      <c r="C67" s="3"/>
    </row>
    <row r="68" spans="3:3" x14ac:dyDescent="0.25">
      <c r="C68" s="3"/>
    </row>
    <row r="69" spans="3:3" x14ac:dyDescent="0.25">
      <c r="C69" s="3"/>
    </row>
    <row r="70" spans="3:3" x14ac:dyDescent="0.25">
      <c r="C70" s="3"/>
    </row>
    <row r="71" spans="3:3" x14ac:dyDescent="0.25">
      <c r="C71" s="3"/>
    </row>
    <row r="72" spans="3:3" x14ac:dyDescent="0.25">
      <c r="C72" s="3"/>
    </row>
    <row r="73" spans="3:3" x14ac:dyDescent="0.25">
      <c r="C73" s="3"/>
    </row>
    <row r="74" spans="3:3" x14ac:dyDescent="0.25">
      <c r="C74" s="3"/>
    </row>
    <row r="75" spans="3:3" x14ac:dyDescent="0.25">
      <c r="C75" s="2"/>
    </row>
    <row r="76" spans="3:3" x14ac:dyDescent="0.25">
      <c r="C76" s="3"/>
    </row>
    <row r="77" spans="3:3" x14ac:dyDescent="0.25">
      <c r="C77" s="2"/>
    </row>
    <row r="78" spans="3:3" x14ac:dyDescent="0.25">
      <c r="C78" s="3"/>
    </row>
    <row r="79" spans="3:3" x14ac:dyDescent="0.25">
      <c r="C79" s="3"/>
    </row>
    <row r="80" spans="3:3" x14ac:dyDescent="0.25">
      <c r="C80" s="3"/>
    </row>
    <row r="81" spans="3:3" x14ac:dyDescent="0.25">
      <c r="C81" s="3"/>
    </row>
    <row r="82" spans="3:3" x14ac:dyDescent="0.25">
      <c r="C82" s="3"/>
    </row>
    <row r="83" spans="3:3" x14ac:dyDescent="0.25">
      <c r="C83"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B3B3ED-9A85-4988-B4F7-9EE119DCB043}">
  <sheetPr codeName="Sheet9"/>
  <dimension ref="A1:Q43"/>
  <sheetViews>
    <sheetView workbookViewId="0">
      <selection sqref="A1:XFD1"/>
    </sheetView>
  </sheetViews>
  <sheetFormatPr defaultRowHeight="15" x14ac:dyDescent="0.25"/>
  <cols>
    <col min="3" max="3" width="20.7109375" customWidth="1"/>
    <col min="4" max="4" width="29.42578125" customWidth="1"/>
  </cols>
  <sheetData>
    <row r="1" spans="1:17" x14ac:dyDescent="0.25">
      <c r="A1" t="s">
        <v>4</v>
      </c>
      <c r="B1" t="s">
        <v>117</v>
      </c>
      <c r="C1" s="3" t="s">
        <v>116</v>
      </c>
      <c r="D1" t="str">
        <f>military_assets!A1</f>
        <v>Title</v>
      </c>
      <c r="E1" t="str">
        <f>military_assets!B1</f>
        <v>Unused0</v>
      </c>
      <c r="F1" t="str">
        <f>military_assets!C1</f>
        <v>Unused1</v>
      </c>
      <c r="G1" t="str">
        <f>military_assets!D1</f>
        <v>Unused2</v>
      </c>
      <c r="H1" t="str">
        <f>military_assets!E1</f>
        <v>Attack</v>
      </c>
      <c r="I1" t="str">
        <f>military_assets!F1</f>
        <v>ShoreAttack</v>
      </c>
      <c r="J1" t="str">
        <f>military_assets!G1</f>
        <v>Defense</v>
      </c>
      <c r="K1" t="str">
        <f>military_assets!H1</f>
        <v>Logistics</v>
      </c>
      <c r="L1" t="str">
        <f>military_assets!I1</f>
        <v>Rosters</v>
      </c>
      <c r="M1" t="str">
        <f>military_assets!J1</f>
        <v>Type</v>
      </c>
      <c r="N1" t="str">
        <f>military_assets!K1</f>
        <v>Description</v>
      </c>
      <c r="O1" t="str">
        <f>military_assets!L1</f>
        <v>Image</v>
      </c>
      <c r="P1" t="str">
        <f>military_assets!M1</f>
        <v>FlavorText</v>
      </c>
      <c r="Q1" t="str">
        <f>military_assets!N1</f>
        <v>Version</v>
      </c>
    </row>
    <row r="2" spans="1:17" x14ac:dyDescent="0.25">
      <c r="A2">
        <v>0</v>
      </c>
      <c r="B2">
        <v>16</v>
      </c>
      <c r="C2" s="3" t="s">
        <v>134</v>
      </c>
      <c r="D2" t="str" cm="1">
        <f t="array" ref="D2">INDEX(military_assets!A:A,mil_ass_ru_start!$B2)</f>
        <v>Kuznetsov Class CV</v>
      </c>
      <c r="E2" cm="1">
        <f t="array" ref="E2">INDEX(military_assets!B:B,mil_ass_ru_start!$B2)</f>
        <v>0</v>
      </c>
      <c r="F2" cm="1">
        <f t="array" ref="F2">INDEX(military_assets!C:C,mil_ass_ru_start!$B2)</f>
        <v>0</v>
      </c>
      <c r="G2" cm="1">
        <f t="array" ref="G2">INDEX(military_assets!D:D,mil_ass_ru_start!$B2)</f>
        <v>0</v>
      </c>
      <c r="H2" cm="1">
        <f t="array" ref="H2">INDEX(military_assets!E:E,mil_ass_ru_start!$B2)</f>
        <v>4</v>
      </c>
      <c r="I2" cm="1">
        <f t="array" ref="I2">INDEX(military_assets!F:F,mil_ass_ru_start!$B2)</f>
        <v>2</v>
      </c>
      <c r="J2" cm="1">
        <f t="array" ref="J2">INDEX(military_assets!G:G,mil_ass_ru_start!$B2)</f>
        <v>2</v>
      </c>
      <c r="K2" cm="1">
        <f t="array" ref="K2">INDEX(military_assets!H:H,mil_ass_ru_start!$B2)</f>
        <v>6</v>
      </c>
      <c r="L2" t="str" cm="1">
        <f t="array" ref="L2">INDEX(military_assets!I:I,mil_ass_ru_start!$B2)</f>
        <v>RUS</v>
      </c>
      <c r="M2" t="str" cm="1">
        <f t="array" ref="M2">INDEX(military_assets!J:J,mil_ass_ru_start!$B2)</f>
        <v>Ship</v>
      </c>
      <c r="N2" t="str" cm="1">
        <f t="array" ref="N2">INDEX(military_assets!K:K,mil_ass_ru_start!$B2)</f>
        <v>STOBAR: Compatible with STOBAR and VTOL squadrons.
Carrier 1: Can station 1 aircraft squadron.
CAP: +2 Help Defense</v>
      </c>
      <c r="O2" t="str" cm="1">
        <f t="array" ref="O2">INDEX(military_assets!L:L,mil_ass_ru_start!$B2)</f>
        <v>Images/kuznetsov.jpg</v>
      </c>
      <c r="P2" t="str" cm="1">
        <f t="array" ref="P2">INDEX(military_assets!M:M,mil_ass_ru_start!$B2)</f>
        <v>Although sold to a company in Macau supposedly for use as a floating casino, Kuznetsov's sister ship has since unsurprisingly become the first aircraft carrier of the Chinese People's Liberation Army Navy.</v>
      </c>
      <c r="Q2" t="str" cm="1">
        <f t="array" ref="Q2">INDEX(military_assets!N:N,mil_ass_ru_start!$B2)</f>
        <v>0.0.1</v>
      </c>
    </row>
    <row r="3" spans="1:17" x14ac:dyDescent="0.25">
      <c r="A3">
        <v>1</v>
      </c>
      <c r="B3">
        <v>17</v>
      </c>
      <c r="C3" s="3" t="s">
        <v>135</v>
      </c>
      <c r="D3" t="str" cm="1">
        <f t="array" ref="D3">INDEX(military_assets!A:A,mil_ass_ru_start!$B3)</f>
        <v>Kirov Class CGN</v>
      </c>
      <c r="E3" cm="1">
        <f t="array" ref="E3">INDEX(military_assets!B:B,mil_ass_ru_start!$B3)</f>
        <v>0</v>
      </c>
      <c r="F3" cm="1">
        <f t="array" ref="F3">INDEX(military_assets!C:C,mil_ass_ru_start!$B3)</f>
        <v>0</v>
      </c>
      <c r="G3" cm="1">
        <f t="array" ref="G3">INDEX(military_assets!D:D,mil_ass_ru_start!$B3)</f>
        <v>0</v>
      </c>
      <c r="H3" cm="1">
        <f t="array" ref="H3">INDEX(military_assets!E:E,mil_ass_ru_start!$B3)</f>
        <v>6</v>
      </c>
      <c r="I3" cm="1">
        <f t="array" ref="I3">INDEX(military_assets!F:F,mil_ass_ru_start!$B3)</f>
        <v>2</v>
      </c>
      <c r="J3" cm="1">
        <f t="array" ref="J3">INDEX(military_assets!G:G,mil_ass_ru_start!$B3)</f>
        <v>4</v>
      </c>
      <c r="K3" cm="1">
        <f t="array" ref="K3">INDEX(military_assets!H:H,mil_ass_ru_start!$B3)</f>
        <v>6</v>
      </c>
      <c r="L3" t="str" cm="1">
        <f t="array" ref="L3">INDEX(military_assets!I:I,mil_ass_ru_start!$B3)</f>
        <v>RUS</v>
      </c>
      <c r="M3" t="str" cm="1">
        <f t="array" ref="M3">INDEX(military_assets!J:J,mil_ass_ru_start!$B3)</f>
        <v>Ship</v>
      </c>
      <c r="N3" t="str" cm="1">
        <f t="array" ref="N3">INDEX(military_assets!K:K,mil_ass_ru_start!$B3)</f>
        <v>S-300: +1 Help Defense.</v>
      </c>
      <c r="O3" t="str" cm="1">
        <f t="array" ref="O3">INDEX(military_assets!L:L,mil_ass_ru_start!$B3)</f>
        <v>Images/kirov.jpg</v>
      </c>
      <c r="P3" t="str" cm="1">
        <f t="array" ref="P3">INDEX(military_assets!M:M,mil_ass_ru_start!$B3)</f>
        <v>Since the decommisioning of the last retrofitted WWII-era battleship in 1991, the Kirov has been the largest surface combatant in the world.</v>
      </c>
      <c r="Q3" t="str" cm="1">
        <f t="array" ref="Q3">INDEX(military_assets!N:N,mil_ass_ru_start!$B3)</f>
        <v>0.0.1</v>
      </c>
    </row>
    <row r="4" spans="1:17" x14ac:dyDescent="0.25">
      <c r="A4">
        <v>1</v>
      </c>
      <c r="B4">
        <v>17</v>
      </c>
      <c r="C4" s="3" t="s">
        <v>136</v>
      </c>
      <c r="D4" t="str" cm="1">
        <f t="array" ref="D4">INDEX(military_assets!A:A,mil_ass_ru_start!$B4)</f>
        <v>Kirov Class CGN</v>
      </c>
      <c r="E4" cm="1">
        <f t="array" ref="E4">INDEX(military_assets!B:B,mil_ass_ru_start!$B4)</f>
        <v>0</v>
      </c>
      <c r="F4" cm="1">
        <f t="array" ref="F4">INDEX(military_assets!C:C,mil_ass_ru_start!$B4)</f>
        <v>0</v>
      </c>
      <c r="G4" cm="1">
        <f t="array" ref="G4">INDEX(military_assets!D:D,mil_ass_ru_start!$B4)</f>
        <v>0</v>
      </c>
      <c r="H4" cm="1">
        <f t="array" ref="H4">INDEX(military_assets!E:E,mil_ass_ru_start!$B4)</f>
        <v>6</v>
      </c>
      <c r="I4" cm="1">
        <f t="array" ref="I4">INDEX(military_assets!F:F,mil_ass_ru_start!$B4)</f>
        <v>2</v>
      </c>
      <c r="J4" cm="1">
        <f t="array" ref="J4">INDEX(military_assets!G:G,mil_ass_ru_start!$B4)</f>
        <v>4</v>
      </c>
      <c r="K4" cm="1">
        <f t="array" ref="K4">INDEX(military_assets!H:H,mil_ass_ru_start!$B4)</f>
        <v>6</v>
      </c>
      <c r="L4" t="str" cm="1">
        <f t="array" ref="L4">INDEX(military_assets!I:I,mil_ass_ru_start!$B4)</f>
        <v>RUS</v>
      </c>
      <c r="M4" t="str" cm="1">
        <f t="array" ref="M4">INDEX(military_assets!J:J,mil_ass_ru_start!$B4)</f>
        <v>Ship</v>
      </c>
      <c r="N4" t="str" cm="1">
        <f t="array" ref="N4">INDEX(military_assets!K:K,mil_ass_ru_start!$B4)</f>
        <v>S-300: +1 Help Defense.</v>
      </c>
      <c r="O4" t="str" cm="1">
        <f t="array" ref="O4">INDEX(military_assets!L:L,mil_ass_ru_start!$B4)</f>
        <v>Images/kirov.jpg</v>
      </c>
      <c r="P4" t="str" cm="1">
        <f t="array" ref="P4">INDEX(military_assets!M:M,mil_ass_ru_start!$B4)</f>
        <v>Since the decommisioning of the last retrofitted WWII-era battleship in 1991, the Kirov has been the largest surface combatant in the world.</v>
      </c>
      <c r="Q4" t="str" cm="1">
        <f t="array" ref="Q4">INDEX(military_assets!N:N,mil_ass_ru_start!$B4)</f>
        <v>0.0.1</v>
      </c>
    </row>
    <row r="5" spans="1:17" x14ac:dyDescent="0.25">
      <c r="A5">
        <v>0</v>
      </c>
      <c r="B5">
        <v>17</v>
      </c>
      <c r="C5" s="3" t="s">
        <v>285</v>
      </c>
      <c r="D5" t="str" cm="1">
        <f t="array" ref="D5">INDEX(military_assets!A:A,mil_ass_ru_start!$B5)</f>
        <v>Kirov Class CGN</v>
      </c>
      <c r="E5" cm="1">
        <f t="array" ref="E5">INDEX(military_assets!B:B,mil_ass_ru_start!$B5)</f>
        <v>0</v>
      </c>
      <c r="F5" cm="1">
        <f t="array" ref="F5">INDEX(military_assets!C:C,mil_ass_ru_start!$B5)</f>
        <v>0</v>
      </c>
      <c r="G5" cm="1">
        <f t="array" ref="G5">INDEX(military_assets!D:D,mil_ass_ru_start!$B5)</f>
        <v>0</v>
      </c>
      <c r="H5" cm="1">
        <f t="array" ref="H5">INDEX(military_assets!E:E,mil_ass_ru_start!$B5)</f>
        <v>6</v>
      </c>
      <c r="I5" cm="1">
        <f t="array" ref="I5">INDEX(military_assets!F:F,mil_ass_ru_start!$B5)</f>
        <v>2</v>
      </c>
      <c r="J5" cm="1">
        <f t="array" ref="J5">INDEX(military_assets!G:G,mil_ass_ru_start!$B5)</f>
        <v>4</v>
      </c>
      <c r="K5" cm="1">
        <f t="array" ref="K5">INDEX(military_assets!H:H,mil_ass_ru_start!$B5)</f>
        <v>6</v>
      </c>
      <c r="L5" t="str" cm="1">
        <f t="array" ref="L5">INDEX(military_assets!I:I,mil_ass_ru_start!$B5)</f>
        <v>RUS</v>
      </c>
      <c r="M5" t="str" cm="1">
        <f t="array" ref="M5">INDEX(military_assets!J:J,mil_ass_ru_start!$B5)</f>
        <v>Ship</v>
      </c>
      <c r="N5" t="str" cm="1">
        <f t="array" ref="N5">INDEX(military_assets!K:K,mil_ass_ru_start!$B5)</f>
        <v>S-300: +1 Help Defense.</v>
      </c>
      <c r="O5" t="str" cm="1">
        <f t="array" ref="O5">INDEX(military_assets!L:L,mil_ass_ru_start!$B5)</f>
        <v>Images/kirov.jpg</v>
      </c>
      <c r="P5" t="str" cm="1">
        <f t="array" ref="P5">INDEX(military_assets!M:M,mil_ass_ru_start!$B5)</f>
        <v>Since the decommisioning of the last retrofitted WWII-era battleship in 1991, the Kirov has been the largest surface combatant in the world.</v>
      </c>
      <c r="Q5" t="str" cm="1">
        <f t="array" ref="Q5">INDEX(military_assets!N:N,mil_ass_ru_start!$B5)</f>
        <v>0.0.1</v>
      </c>
    </row>
    <row r="6" spans="1:17" x14ac:dyDescent="0.25">
      <c r="A6">
        <v>1</v>
      </c>
      <c r="B6">
        <v>18</v>
      </c>
      <c r="C6" s="3" t="s">
        <v>216</v>
      </c>
      <c r="D6" t="str" cm="1">
        <f t="array" ref="D6">INDEX(military_assets!A:A,mil_ass_ru_start!$B6)</f>
        <v>Slava Class CG</v>
      </c>
      <c r="E6" cm="1">
        <f t="array" ref="E6">INDEX(military_assets!B:B,mil_ass_ru_start!$B6)</f>
        <v>0</v>
      </c>
      <c r="F6" cm="1">
        <f t="array" ref="F6">INDEX(military_assets!C:C,mil_ass_ru_start!$B6)</f>
        <v>0</v>
      </c>
      <c r="G6" cm="1">
        <f t="array" ref="G6">INDEX(military_assets!D:D,mil_ass_ru_start!$B6)</f>
        <v>0</v>
      </c>
      <c r="H6" cm="1">
        <f t="array" ref="H6">INDEX(military_assets!E:E,mil_ass_ru_start!$B6)</f>
        <v>4</v>
      </c>
      <c r="I6" cm="1">
        <f t="array" ref="I6">INDEX(military_assets!F:F,mil_ass_ru_start!$B6)</f>
        <v>2</v>
      </c>
      <c r="J6" cm="1">
        <f t="array" ref="J6">INDEX(military_assets!G:G,mil_ass_ru_start!$B6)</f>
        <v>2</v>
      </c>
      <c r="K6" cm="1">
        <f t="array" ref="K6">INDEX(military_assets!H:H,mil_ass_ru_start!$B6)</f>
        <v>3</v>
      </c>
      <c r="L6" t="str" cm="1">
        <f t="array" ref="L6">INDEX(military_assets!I:I,mil_ass_ru_start!$B6)</f>
        <v>RUS</v>
      </c>
      <c r="M6" t="str" cm="1">
        <f t="array" ref="M6">INDEX(military_assets!J:J,mil_ass_ru_start!$B6)</f>
        <v>Ship</v>
      </c>
      <c r="N6" t="str" cm="1">
        <f t="array" ref="N6">INDEX(military_assets!K:K,mil_ass_ru_start!$B6)</f>
        <v>S-300: +1 Help Defense.</v>
      </c>
      <c r="O6" t="str" cm="1">
        <f t="array" ref="O6">INDEX(military_assets!L:L,mil_ass_ru_start!$B6)</f>
        <v>Images/slava.jpg</v>
      </c>
      <c r="P6" t="str" cm="1">
        <f t="array" ref="P6">INDEX(military_assets!M:M,mil_ass_ru_start!$B6)</f>
        <v>Equipped with the same massive anti-ship missiles as the Kirov class, the Slava packs a similar punch in a considerably smaller form-factor.</v>
      </c>
      <c r="Q6" t="str" cm="1">
        <f t="array" ref="Q6">INDEX(military_assets!N:N,mil_ass_ru_start!$B6)</f>
        <v>0.0.1</v>
      </c>
    </row>
    <row r="7" spans="1:17" x14ac:dyDescent="0.25">
      <c r="A7">
        <v>1</v>
      </c>
      <c r="B7">
        <v>18</v>
      </c>
      <c r="C7" s="3" t="s">
        <v>137</v>
      </c>
      <c r="D7" t="str" cm="1">
        <f t="array" ref="D7">INDEX(military_assets!A:A,mil_ass_ru_start!$B7)</f>
        <v>Slava Class CG</v>
      </c>
      <c r="E7" cm="1">
        <f t="array" ref="E7">INDEX(military_assets!B:B,mil_ass_ru_start!$B7)</f>
        <v>0</v>
      </c>
      <c r="F7" cm="1">
        <f t="array" ref="F7">INDEX(military_assets!C:C,mil_ass_ru_start!$B7)</f>
        <v>0</v>
      </c>
      <c r="G7" cm="1">
        <f t="array" ref="G7">INDEX(military_assets!D:D,mil_ass_ru_start!$B7)</f>
        <v>0</v>
      </c>
      <c r="H7" cm="1">
        <f t="array" ref="H7">INDEX(military_assets!E:E,mil_ass_ru_start!$B7)</f>
        <v>4</v>
      </c>
      <c r="I7" cm="1">
        <f t="array" ref="I7">INDEX(military_assets!F:F,mil_ass_ru_start!$B7)</f>
        <v>2</v>
      </c>
      <c r="J7" cm="1">
        <f t="array" ref="J7">INDEX(military_assets!G:G,mil_ass_ru_start!$B7)</f>
        <v>2</v>
      </c>
      <c r="K7" cm="1">
        <f t="array" ref="K7">INDEX(military_assets!H:H,mil_ass_ru_start!$B7)</f>
        <v>3</v>
      </c>
      <c r="L7" t="str" cm="1">
        <f t="array" ref="L7">INDEX(military_assets!I:I,mil_ass_ru_start!$B7)</f>
        <v>RUS</v>
      </c>
      <c r="M7" t="str" cm="1">
        <f t="array" ref="M7">INDEX(military_assets!J:J,mil_ass_ru_start!$B7)</f>
        <v>Ship</v>
      </c>
      <c r="N7" t="str" cm="1">
        <f t="array" ref="N7">INDEX(military_assets!K:K,mil_ass_ru_start!$B7)</f>
        <v>S-300: +1 Help Defense.</v>
      </c>
      <c r="O7" t="str" cm="1">
        <f t="array" ref="O7">INDEX(military_assets!L:L,mil_ass_ru_start!$B7)</f>
        <v>Images/slava.jpg</v>
      </c>
      <c r="P7" t="str" cm="1">
        <f t="array" ref="P7">INDEX(military_assets!M:M,mil_ass_ru_start!$B7)</f>
        <v>Equipped with the same massive anti-ship missiles as the Kirov class, the Slava packs a similar punch in a considerably smaller form-factor.</v>
      </c>
      <c r="Q7" t="str" cm="1">
        <f t="array" ref="Q7">INDEX(military_assets!N:N,mil_ass_ru_start!$B7)</f>
        <v>0.0.1</v>
      </c>
    </row>
    <row r="8" spans="1:17" x14ac:dyDescent="0.25">
      <c r="A8">
        <v>1</v>
      </c>
      <c r="B8">
        <v>18</v>
      </c>
      <c r="C8" s="3" t="s">
        <v>138</v>
      </c>
      <c r="D8" t="str" cm="1">
        <f t="array" ref="D8">INDEX(military_assets!A:A,mil_ass_ru_start!$B8)</f>
        <v>Slava Class CG</v>
      </c>
      <c r="E8" cm="1">
        <f t="array" ref="E8">INDEX(military_assets!B:B,mil_ass_ru_start!$B8)</f>
        <v>0</v>
      </c>
      <c r="F8" cm="1">
        <f t="array" ref="F8">INDEX(military_assets!C:C,mil_ass_ru_start!$B8)</f>
        <v>0</v>
      </c>
      <c r="G8" cm="1">
        <f t="array" ref="G8">INDEX(military_assets!D:D,mil_ass_ru_start!$B8)</f>
        <v>0</v>
      </c>
      <c r="H8" cm="1">
        <f t="array" ref="H8">INDEX(military_assets!E:E,mil_ass_ru_start!$B8)</f>
        <v>4</v>
      </c>
      <c r="I8" cm="1">
        <f t="array" ref="I8">INDEX(military_assets!F:F,mil_ass_ru_start!$B8)</f>
        <v>2</v>
      </c>
      <c r="J8" cm="1">
        <f t="array" ref="J8">INDEX(military_assets!G:G,mil_ass_ru_start!$B8)</f>
        <v>2</v>
      </c>
      <c r="K8" cm="1">
        <f t="array" ref="K8">INDEX(military_assets!H:H,mil_ass_ru_start!$B8)</f>
        <v>3</v>
      </c>
      <c r="L8" t="str" cm="1">
        <f t="array" ref="L8">INDEX(military_assets!I:I,mil_ass_ru_start!$B8)</f>
        <v>RUS</v>
      </c>
      <c r="M8" t="str" cm="1">
        <f t="array" ref="M8">INDEX(military_assets!J:J,mil_ass_ru_start!$B8)</f>
        <v>Ship</v>
      </c>
      <c r="N8" t="str" cm="1">
        <f t="array" ref="N8">INDEX(military_assets!K:K,mil_ass_ru_start!$B8)</f>
        <v>S-300: +1 Help Defense.</v>
      </c>
      <c r="O8" t="str" cm="1">
        <f t="array" ref="O8">INDEX(military_assets!L:L,mil_ass_ru_start!$B8)</f>
        <v>Images/slava.jpg</v>
      </c>
      <c r="P8" t="str" cm="1">
        <f t="array" ref="P8">INDEX(military_assets!M:M,mil_ass_ru_start!$B8)</f>
        <v>Equipped with the same massive anti-ship missiles as the Kirov class, the Slava packs a similar punch in a considerably smaller form-factor.</v>
      </c>
      <c r="Q8" t="str" cm="1">
        <f t="array" ref="Q8">INDEX(military_assets!N:N,mil_ass_ru_start!$B8)</f>
        <v>0.0.1</v>
      </c>
    </row>
    <row r="9" spans="1:17" x14ac:dyDescent="0.25">
      <c r="A9">
        <v>0</v>
      </c>
      <c r="B9">
        <v>18</v>
      </c>
      <c r="C9" s="3" t="s">
        <v>45</v>
      </c>
      <c r="D9" t="str" cm="1">
        <f t="array" ref="D9">INDEX(military_assets!A:A,mil_ass_ru_start!$B9)</f>
        <v>Slava Class CG</v>
      </c>
      <c r="E9" cm="1">
        <f t="array" ref="E9">INDEX(military_assets!B:B,mil_ass_ru_start!$B9)</f>
        <v>0</v>
      </c>
      <c r="F9" cm="1">
        <f t="array" ref="F9">INDEX(military_assets!C:C,mil_ass_ru_start!$B9)</f>
        <v>0</v>
      </c>
      <c r="G9" cm="1">
        <f t="array" ref="G9">INDEX(military_assets!D:D,mil_ass_ru_start!$B9)</f>
        <v>0</v>
      </c>
      <c r="H9" cm="1">
        <f t="array" ref="H9">INDEX(military_assets!E:E,mil_ass_ru_start!$B9)</f>
        <v>4</v>
      </c>
      <c r="I9" cm="1">
        <f t="array" ref="I9">INDEX(military_assets!F:F,mil_ass_ru_start!$B9)</f>
        <v>2</v>
      </c>
      <c r="J9" cm="1">
        <f t="array" ref="J9">INDEX(military_assets!G:G,mil_ass_ru_start!$B9)</f>
        <v>2</v>
      </c>
      <c r="K9" cm="1">
        <f t="array" ref="K9">INDEX(military_assets!H:H,mil_ass_ru_start!$B9)</f>
        <v>3</v>
      </c>
      <c r="L9" t="str" cm="1">
        <f t="array" ref="L9">INDEX(military_assets!I:I,mil_ass_ru_start!$B9)</f>
        <v>RUS</v>
      </c>
      <c r="M9" t="str" cm="1">
        <f t="array" ref="M9">INDEX(military_assets!J:J,mil_ass_ru_start!$B9)</f>
        <v>Ship</v>
      </c>
      <c r="N9" t="str" cm="1">
        <f t="array" ref="N9">INDEX(military_assets!K:K,mil_ass_ru_start!$B9)</f>
        <v>S-300: +1 Help Defense.</v>
      </c>
      <c r="O9" t="str" cm="1">
        <f t="array" ref="O9">INDEX(military_assets!L:L,mil_ass_ru_start!$B9)</f>
        <v>Images/slava.jpg</v>
      </c>
      <c r="P9" t="str" cm="1">
        <f t="array" ref="P9">INDEX(military_assets!M:M,mil_ass_ru_start!$B9)</f>
        <v>Equipped with the same massive anti-ship missiles as the Kirov class, the Slava packs a similar punch in a considerably smaller form-factor.</v>
      </c>
      <c r="Q9" t="str" cm="1">
        <f t="array" ref="Q9">INDEX(military_assets!N:N,mil_ass_ru_start!$B9)</f>
        <v>0.0.1</v>
      </c>
    </row>
    <row r="10" spans="1:17" x14ac:dyDescent="0.25">
      <c r="A10">
        <v>1</v>
      </c>
      <c r="B10">
        <v>19</v>
      </c>
      <c r="C10" s="3" t="s">
        <v>139</v>
      </c>
      <c r="D10" t="str" cm="1">
        <f t="array" ref="D10">INDEX(military_assets!A:A,mil_ass_ru_start!$B10)</f>
        <v>Udaloy II Class DDG</v>
      </c>
      <c r="E10" cm="1">
        <f t="array" ref="E10">INDEX(military_assets!B:B,mil_ass_ru_start!$B10)</f>
        <v>0</v>
      </c>
      <c r="F10" cm="1">
        <f t="array" ref="F10">INDEX(military_assets!C:C,mil_ass_ru_start!$B10)</f>
        <v>0</v>
      </c>
      <c r="G10" cm="1">
        <f t="array" ref="G10">INDEX(military_assets!D:D,mil_ass_ru_start!$B10)</f>
        <v>0</v>
      </c>
      <c r="H10" cm="1">
        <f t="array" ref="H10">INDEX(military_assets!E:E,mil_ass_ru_start!$B10)</f>
        <v>3</v>
      </c>
      <c r="I10" cm="1">
        <f t="array" ref="I10">INDEX(military_assets!F:F,mil_ass_ru_start!$B10)</f>
        <v>2</v>
      </c>
      <c r="J10" cm="1">
        <f t="array" ref="J10">INDEX(military_assets!G:G,mil_ass_ru_start!$B10)</f>
        <v>3</v>
      </c>
      <c r="K10" cm="1">
        <f t="array" ref="K10">INDEX(military_assets!H:H,mil_ass_ru_start!$B10)</f>
        <v>2</v>
      </c>
      <c r="L10" t="str" cm="1">
        <f t="array" ref="L10">INDEX(military_assets!I:I,mil_ass_ru_start!$B10)</f>
        <v>RUS</v>
      </c>
      <c r="M10" t="str" cm="1">
        <f t="array" ref="M10">INDEX(military_assets!J:J,mil_ass_ru_start!$B10)</f>
        <v>Ship</v>
      </c>
      <c r="N10" t="str" cm="1">
        <f t="array" ref="N10">INDEX(military_assets!K:K,mil_ass_ru_start!$B10)</f>
        <v xml:space="preserve">
</v>
      </c>
      <c r="O10" t="str" cm="1">
        <f t="array" ref="O10">INDEX(military_assets!L:L,mil_ass_ru_start!$B10)</f>
        <v>Images/udaloy.jpg</v>
      </c>
      <c r="P10" t="str" cm="1">
        <f t="array" ref="P10">INDEX(military_assets!M:M,mil_ass_ru_start!$B10)</f>
        <v>Udaloy II: the ship so nice they designed it twice.</v>
      </c>
      <c r="Q10" t="str" cm="1">
        <f t="array" ref="Q10">INDEX(military_assets!N:N,mil_ass_ru_start!$B10)</f>
        <v>0.0.1</v>
      </c>
    </row>
    <row r="11" spans="1:17" x14ac:dyDescent="0.25">
      <c r="A11">
        <v>1</v>
      </c>
      <c r="B11">
        <v>19</v>
      </c>
      <c r="C11" s="3" t="s">
        <v>140</v>
      </c>
      <c r="D11" t="str" cm="1">
        <f t="array" ref="D11">INDEX(military_assets!A:A,mil_ass_ru_start!$B11)</f>
        <v>Udaloy II Class DDG</v>
      </c>
      <c r="E11" cm="1">
        <f t="array" ref="E11">INDEX(military_assets!B:B,mil_ass_ru_start!$B11)</f>
        <v>0</v>
      </c>
      <c r="F11" cm="1">
        <f t="array" ref="F11">INDEX(military_assets!C:C,mil_ass_ru_start!$B11)</f>
        <v>0</v>
      </c>
      <c r="G11" cm="1">
        <f t="array" ref="G11">INDEX(military_assets!D:D,mil_ass_ru_start!$B11)</f>
        <v>0</v>
      </c>
      <c r="H11" cm="1">
        <f t="array" ref="H11">INDEX(military_assets!E:E,mil_ass_ru_start!$B11)</f>
        <v>3</v>
      </c>
      <c r="I11" cm="1">
        <f t="array" ref="I11">INDEX(military_assets!F:F,mil_ass_ru_start!$B11)</f>
        <v>2</v>
      </c>
      <c r="J11" cm="1">
        <f t="array" ref="J11">INDEX(military_assets!G:G,mil_ass_ru_start!$B11)</f>
        <v>3</v>
      </c>
      <c r="K11" cm="1">
        <f t="array" ref="K11">INDEX(military_assets!H:H,mil_ass_ru_start!$B11)</f>
        <v>2</v>
      </c>
      <c r="L11" t="str" cm="1">
        <f t="array" ref="L11">INDEX(military_assets!I:I,mil_ass_ru_start!$B11)</f>
        <v>RUS</v>
      </c>
      <c r="M11" t="str" cm="1">
        <f t="array" ref="M11">INDEX(military_assets!J:J,mil_ass_ru_start!$B11)</f>
        <v>Ship</v>
      </c>
      <c r="N11" t="str" cm="1">
        <f t="array" ref="N11">INDEX(military_assets!K:K,mil_ass_ru_start!$B11)</f>
        <v xml:space="preserve">
</v>
      </c>
      <c r="O11" t="str" cm="1">
        <f t="array" ref="O11">INDEX(military_assets!L:L,mil_ass_ru_start!$B11)</f>
        <v>Images/udaloy.jpg</v>
      </c>
      <c r="P11" t="str" cm="1">
        <f t="array" ref="P11">INDEX(military_assets!M:M,mil_ass_ru_start!$B11)</f>
        <v>Udaloy II: the ship so nice they designed it twice.</v>
      </c>
      <c r="Q11" t="str" cm="1">
        <f t="array" ref="Q11">INDEX(military_assets!N:N,mil_ass_ru_start!$B11)</f>
        <v>0.0.1</v>
      </c>
    </row>
    <row r="12" spans="1:17" x14ac:dyDescent="0.25">
      <c r="A12">
        <v>1</v>
      </c>
      <c r="B12">
        <v>19</v>
      </c>
      <c r="C12" s="3" t="s">
        <v>286</v>
      </c>
      <c r="D12" t="str" cm="1">
        <f t="array" ref="D12">INDEX(military_assets!A:A,mil_ass_ru_start!$B12)</f>
        <v>Udaloy II Class DDG</v>
      </c>
      <c r="E12" cm="1">
        <f t="array" ref="E12">INDEX(military_assets!B:B,mil_ass_ru_start!$B12)</f>
        <v>0</v>
      </c>
      <c r="F12" cm="1">
        <f t="array" ref="F12">INDEX(military_assets!C:C,mil_ass_ru_start!$B12)</f>
        <v>0</v>
      </c>
      <c r="G12" cm="1">
        <f t="array" ref="G12">INDEX(military_assets!D:D,mil_ass_ru_start!$B12)</f>
        <v>0</v>
      </c>
      <c r="H12" cm="1">
        <f t="array" ref="H12">INDEX(military_assets!E:E,mil_ass_ru_start!$B12)</f>
        <v>3</v>
      </c>
      <c r="I12" cm="1">
        <f t="array" ref="I12">INDEX(military_assets!F:F,mil_ass_ru_start!$B12)</f>
        <v>2</v>
      </c>
      <c r="J12" cm="1">
        <f t="array" ref="J12">INDEX(military_assets!G:G,mil_ass_ru_start!$B12)</f>
        <v>3</v>
      </c>
      <c r="K12" cm="1">
        <f t="array" ref="K12">INDEX(military_assets!H:H,mil_ass_ru_start!$B12)</f>
        <v>2</v>
      </c>
      <c r="L12" t="str" cm="1">
        <f t="array" ref="L12">INDEX(military_assets!I:I,mil_ass_ru_start!$B12)</f>
        <v>RUS</v>
      </c>
      <c r="M12" t="str" cm="1">
        <f t="array" ref="M12">INDEX(military_assets!J:J,mil_ass_ru_start!$B12)</f>
        <v>Ship</v>
      </c>
      <c r="N12" t="str" cm="1">
        <f t="array" ref="N12">INDEX(military_assets!K:K,mil_ass_ru_start!$B12)</f>
        <v xml:space="preserve">
</v>
      </c>
      <c r="O12" t="str" cm="1">
        <f t="array" ref="O12">INDEX(military_assets!L:L,mil_ass_ru_start!$B12)</f>
        <v>Images/udaloy.jpg</v>
      </c>
      <c r="P12" t="str" cm="1">
        <f t="array" ref="P12">INDEX(military_assets!M:M,mil_ass_ru_start!$B12)</f>
        <v>Udaloy II: the ship so nice they designed it twice.</v>
      </c>
      <c r="Q12" t="str" cm="1">
        <f t="array" ref="Q12">INDEX(military_assets!N:N,mil_ass_ru_start!$B12)</f>
        <v>0.0.1</v>
      </c>
    </row>
    <row r="13" spans="1:17" x14ac:dyDescent="0.25">
      <c r="A13">
        <v>0</v>
      </c>
      <c r="B13">
        <v>19</v>
      </c>
      <c r="C13" s="3" t="s">
        <v>287</v>
      </c>
      <c r="D13" t="str" cm="1">
        <f t="array" ref="D13">INDEX(military_assets!A:A,mil_ass_ru_start!$B13)</f>
        <v>Udaloy II Class DDG</v>
      </c>
      <c r="E13" cm="1">
        <f t="array" ref="E13">INDEX(military_assets!B:B,mil_ass_ru_start!$B13)</f>
        <v>0</v>
      </c>
      <c r="F13" cm="1">
        <f t="array" ref="F13">INDEX(military_assets!C:C,mil_ass_ru_start!$B13)</f>
        <v>0</v>
      </c>
      <c r="G13" cm="1">
        <f t="array" ref="G13">INDEX(military_assets!D:D,mil_ass_ru_start!$B13)</f>
        <v>0</v>
      </c>
      <c r="H13" cm="1">
        <f t="array" ref="H13">INDEX(military_assets!E:E,mil_ass_ru_start!$B13)</f>
        <v>3</v>
      </c>
      <c r="I13" cm="1">
        <f t="array" ref="I13">INDEX(military_assets!F:F,mil_ass_ru_start!$B13)</f>
        <v>2</v>
      </c>
      <c r="J13" cm="1">
        <f t="array" ref="J13">INDEX(military_assets!G:G,mil_ass_ru_start!$B13)</f>
        <v>3</v>
      </c>
      <c r="K13" cm="1">
        <f t="array" ref="K13">INDEX(military_assets!H:H,mil_ass_ru_start!$B13)</f>
        <v>2</v>
      </c>
      <c r="L13" t="str" cm="1">
        <f t="array" ref="L13">INDEX(military_assets!I:I,mil_ass_ru_start!$B13)</f>
        <v>RUS</v>
      </c>
      <c r="M13" t="str" cm="1">
        <f t="array" ref="M13">INDEX(military_assets!J:J,mil_ass_ru_start!$B13)</f>
        <v>Ship</v>
      </c>
      <c r="N13" t="str" cm="1">
        <f t="array" ref="N13">INDEX(military_assets!K:K,mil_ass_ru_start!$B13)</f>
        <v xml:space="preserve">
</v>
      </c>
      <c r="O13" t="str" cm="1">
        <f t="array" ref="O13">INDEX(military_assets!L:L,mil_ass_ru_start!$B13)</f>
        <v>Images/udaloy.jpg</v>
      </c>
      <c r="P13" t="str" cm="1">
        <f t="array" ref="P13">INDEX(military_assets!M:M,mil_ass_ru_start!$B13)</f>
        <v>Udaloy II: the ship so nice they designed it twice.</v>
      </c>
      <c r="Q13" t="str" cm="1">
        <f t="array" ref="Q13">INDEX(military_assets!N:N,mil_ass_ru_start!$B13)</f>
        <v>0.0.1</v>
      </c>
    </row>
    <row r="14" spans="1:17" x14ac:dyDescent="0.25">
      <c r="A14">
        <v>0</v>
      </c>
      <c r="B14">
        <v>19</v>
      </c>
      <c r="C14" s="3" t="s">
        <v>44</v>
      </c>
      <c r="D14" t="str" cm="1">
        <f t="array" ref="D14">INDEX(military_assets!A:A,mil_ass_ru_start!$B14)</f>
        <v>Udaloy II Class DDG</v>
      </c>
      <c r="E14" cm="1">
        <f t="array" ref="E14">INDEX(military_assets!B:B,mil_ass_ru_start!$B14)</f>
        <v>0</v>
      </c>
      <c r="F14" cm="1">
        <f t="array" ref="F14">INDEX(military_assets!C:C,mil_ass_ru_start!$B14)</f>
        <v>0</v>
      </c>
      <c r="G14" cm="1">
        <f t="array" ref="G14">INDEX(military_assets!D:D,mil_ass_ru_start!$B14)</f>
        <v>0</v>
      </c>
      <c r="H14" cm="1">
        <f t="array" ref="H14">INDEX(military_assets!E:E,mil_ass_ru_start!$B14)</f>
        <v>3</v>
      </c>
      <c r="I14" cm="1">
        <f t="array" ref="I14">INDEX(military_assets!F:F,mil_ass_ru_start!$B14)</f>
        <v>2</v>
      </c>
      <c r="J14" cm="1">
        <f t="array" ref="J14">INDEX(military_assets!G:G,mil_ass_ru_start!$B14)</f>
        <v>3</v>
      </c>
      <c r="K14" cm="1">
        <f t="array" ref="K14">INDEX(military_assets!H:H,mil_ass_ru_start!$B14)</f>
        <v>2</v>
      </c>
      <c r="L14" t="str" cm="1">
        <f t="array" ref="L14">INDEX(military_assets!I:I,mil_ass_ru_start!$B14)</f>
        <v>RUS</v>
      </c>
      <c r="M14" t="str" cm="1">
        <f t="array" ref="M14">INDEX(military_assets!J:J,mil_ass_ru_start!$B14)</f>
        <v>Ship</v>
      </c>
      <c r="N14" t="str" cm="1">
        <f t="array" ref="N14">INDEX(military_assets!K:K,mil_ass_ru_start!$B14)</f>
        <v xml:space="preserve">
</v>
      </c>
      <c r="O14" t="str" cm="1">
        <f t="array" ref="O14">INDEX(military_assets!L:L,mil_ass_ru_start!$B14)</f>
        <v>Images/udaloy.jpg</v>
      </c>
      <c r="P14" t="str" cm="1">
        <f t="array" ref="P14">INDEX(military_assets!M:M,mil_ass_ru_start!$B14)</f>
        <v>Udaloy II: the ship so nice they designed it twice.</v>
      </c>
      <c r="Q14" t="str" cm="1">
        <f t="array" ref="Q14">INDEX(military_assets!N:N,mil_ass_ru_start!$B14)</f>
        <v>0.0.1</v>
      </c>
    </row>
    <row r="15" spans="1:17" x14ac:dyDescent="0.25">
      <c r="A15">
        <v>0</v>
      </c>
      <c r="B15">
        <v>19</v>
      </c>
      <c r="C15" s="3" t="s">
        <v>288</v>
      </c>
      <c r="D15" t="str" cm="1">
        <f t="array" ref="D15">INDEX(military_assets!A:A,mil_ass_ru_start!$B15)</f>
        <v>Udaloy II Class DDG</v>
      </c>
      <c r="E15" cm="1">
        <f t="array" ref="E15">INDEX(military_assets!B:B,mil_ass_ru_start!$B15)</f>
        <v>0</v>
      </c>
      <c r="F15" cm="1">
        <f t="array" ref="F15">INDEX(military_assets!C:C,mil_ass_ru_start!$B15)</f>
        <v>0</v>
      </c>
      <c r="G15" cm="1">
        <f t="array" ref="G15">INDEX(military_assets!D:D,mil_ass_ru_start!$B15)</f>
        <v>0</v>
      </c>
      <c r="H15" cm="1">
        <f t="array" ref="H15">INDEX(military_assets!E:E,mil_ass_ru_start!$B15)</f>
        <v>3</v>
      </c>
      <c r="I15" cm="1">
        <f t="array" ref="I15">INDEX(military_assets!F:F,mil_ass_ru_start!$B15)</f>
        <v>2</v>
      </c>
      <c r="J15" cm="1">
        <f t="array" ref="J15">INDEX(military_assets!G:G,mil_ass_ru_start!$B15)</f>
        <v>3</v>
      </c>
      <c r="K15" cm="1">
        <f t="array" ref="K15">INDEX(military_assets!H:H,mil_ass_ru_start!$B15)</f>
        <v>2</v>
      </c>
      <c r="L15" t="str" cm="1">
        <f t="array" ref="L15">INDEX(military_assets!I:I,mil_ass_ru_start!$B15)</f>
        <v>RUS</v>
      </c>
      <c r="M15" t="str" cm="1">
        <f t="array" ref="M15">INDEX(military_assets!J:J,mil_ass_ru_start!$B15)</f>
        <v>Ship</v>
      </c>
      <c r="N15" t="str" cm="1">
        <f t="array" ref="N15">INDEX(military_assets!K:K,mil_ass_ru_start!$B15)</f>
        <v xml:space="preserve">
</v>
      </c>
      <c r="O15" t="str" cm="1">
        <f t="array" ref="O15">INDEX(military_assets!L:L,mil_ass_ru_start!$B15)</f>
        <v>Images/udaloy.jpg</v>
      </c>
      <c r="P15" t="str" cm="1">
        <f t="array" ref="P15">INDEX(military_assets!M:M,mil_ass_ru_start!$B15)</f>
        <v>Udaloy II: the ship so nice they designed it twice.</v>
      </c>
      <c r="Q15" t="str" cm="1">
        <f t="array" ref="Q15">INDEX(military_assets!N:N,mil_ass_ru_start!$B15)</f>
        <v>0.0.1</v>
      </c>
    </row>
    <row r="16" spans="1:17" x14ac:dyDescent="0.25">
      <c r="A16">
        <v>1</v>
      </c>
      <c r="B16">
        <v>28</v>
      </c>
      <c r="C16" s="3" t="s">
        <v>299</v>
      </c>
      <c r="D16" t="str" cm="1">
        <f t="array" ref="D16">INDEX(military_assets!A:A,mil_ass_ru_start!$B16)</f>
        <v>Sovremanny Class DDG</v>
      </c>
      <c r="E16" cm="1">
        <f t="array" ref="E16">INDEX(military_assets!B:B,mil_ass_ru_start!$B16)</f>
        <v>0</v>
      </c>
      <c r="F16" cm="1">
        <f t="array" ref="F16">INDEX(military_assets!C:C,mil_ass_ru_start!$B16)</f>
        <v>0</v>
      </c>
      <c r="G16" cm="1">
        <f t="array" ref="G16">INDEX(military_assets!D:D,mil_ass_ru_start!$B16)</f>
        <v>0</v>
      </c>
      <c r="H16" cm="1">
        <f t="array" ref="H16">INDEX(military_assets!E:E,mil_ass_ru_start!$B16)</f>
        <v>2</v>
      </c>
      <c r="I16" cm="1">
        <f t="array" ref="I16">INDEX(military_assets!F:F,mil_ass_ru_start!$B16)</f>
        <v>0</v>
      </c>
      <c r="J16" cm="1">
        <f t="array" ref="J16">INDEX(military_assets!G:G,mil_ass_ru_start!$B16)</f>
        <v>2</v>
      </c>
      <c r="K16" cm="1">
        <f t="array" ref="K16">INDEX(military_assets!H:H,mil_ass_ru_start!$B16)</f>
        <v>1</v>
      </c>
      <c r="L16" t="str" cm="1">
        <f t="array" ref="L16">INDEX(military_assets!I:I,mil_ass_ru_start!$B16)</f>
        <v>RUS</v>
      </c>
      <c r="M16" t="str" cm="1">
        <f t="array" ref="M16">INDEX(military_assets!J:J,mil_ass_ru_start!$B16)</f>
        <v>Ship</v>
      </c>
      <c r="N16" t="str" cm="1">
        <f t="array" ref="N16">INDEX(military_assets!K:K,mil_ass_ru_start!$B16)</f>
        <v xml:space="preserve">
</v>
      </c>
      <c r="O16" t="str" cm="1">
        <f t="array" ref="O16">INDEX(military_assets!L:L,mil_ass_ru_start!$B16)</f>
        <v>Images/sovremenny.jpg</v>
      </c>
      <c r="P16" t="str" cm="1">
        <f t="array" ref="P16">INDEX(military_assets!M:M,mil_ass_ru_start!$B16)</f>
        <v>With a name that means "modern" in Russian, they are the oldest class of destroyer in the Russian Navy.</v>
      </c>
      <c r="Q16" t="str" cm="1">
        <f t="array" ref="Q16">INDEX(military_assets!N:N,mil_ass_ru_start!$B16)</f>
        <v>0.0.1</v>
      </c>
    </row>
    <row r="17" spans="1:17" x14ac:dyDescent="0.25">
      <c r="A17">
        <v>0</v>
      </c>
      <c r="B17">
        <v>28</v>
      </c>
      <c r="C17" s="3" t="s">
        <v>300</v>
      </c>
      <c r="D17" t="str" cm="1">
        <f t="array" ref="D17">INDEX(military_assets!A:A,mil_ass_ru_start!$B17)</f>
        <v>Sovremanny Class DDG</v>
      </c>
      <c r="E17" cm="1">
        <f t="array" ref="E17">INDEX(military_assets!B:B,mil_ass_ru_start!$B17)</f>
        <v>0</v>
      </c>
      <c r="F17" cm="1">
        <f t="array" ref="F17">INDEX(military_assets!C:C,mil_ass_ru_start!$B17)</f>
        <v>0</v>
      </c>
      <c r="G17" cm="1">
        <f t="array" ref="G17">INDEX(military_assets!D:D,mil_ass_ru_start!$B17)</f>
        <v>0</v>
      </c>
      <c r="H17" cm="1">
        <f t="array" ref="H17">INDEX(military_assets!E:E,mil_ass_ru_start!$B17)</f>
        <v>2</v>
      </c>
      <c r="I17" cm="1">
        <f t="array" ref="I17">INDEX(military_assets!F:F,mil_ass_ru_start!$B17)</f>
        <v>0</v>
      </c>
      <c r="J17" cm="1">
        <f t="array" ref="J17">INDEX(military_assets!G:G,mil_ass_ru_start!$B17)</f>
        <v>2</v>
      </c>
      <c r="K17" cm="1">
        <f t="array" ref="K17">INDEX(military_assets!H:H,mil_ass_ru_start!$B17)</f>
        <v>1</v>
      </c>
      <c r="L17" t="str" cm="1">
        <f t="array" ref="L17">INDEX(military_assets!I:I,mil_ass_ru_start!$B17)</f>
        <v>RUS</v>
      </c>
      <c r="M17" t="str" cm="1">
        <f t="array" ref="M17">INDEX(military_assets!J:J,mil_ass_ru_start!$B17)</f>
        <v>Ship</v>
      </c>
      <c r="N17" t="str" cm="1">
        <f t="array" ref="N17">INDEX(military_assets!K:K,mil_ass_ru_start!$B17)</f>
        <v xml:space="preserve">
</v>
      </c>
      <c r="O17" t="str" cm="1">
        <f t="array" ref="O17">INDEX(military_assets!L:L,mil_ass_ru_start!$B17)</f>
        <v>Images/sovremenny.jpg</v>
      </c>
      <c r="P17" t="str" cm="1">
        <f t="array" ref="P17">INDEX(military_assets!M:M,mil_ass_ru_start!$B17)</f>
        <v>With a name that means "modern" in Russian, they are the oldest class of destroyer in the Russian Navy.</v>
      </c>
      <c r="Q17" t="str" cm="1">
        <f t="array" ref="Q17">INDEX(military_assets!N:N,mil_ass_ru_start!$B17)</f>
        <v>0.0.1</v>
      </c>
    </row>
    <row r="18" spans="1:17" x14ac:dyDescent="0.25">
      <c r="A18">
        <v>0</v>
      </c>
      <c r="B18">
        <v>28</v>
      </c>
      <c r="C18" s="3" t="s">
        <v>285</v>
      </c>
      <c r="D18" t="str" cm="1">
        <f t="array" ref="D18">INDEX(military_assets!A:A,mil_ass_ru_start!$B18)</f>
        <v>Sovremanny Class DDG</v>
      </c>
      <c r="E18" cm="1">
        <f t="array" ref="E18">INDEX(military_assets!B:B,mil_ass_ru_start!$B18)</f>
        <v>0</v>
      </c>
      <c r="F18" cm="1">
        <f t="array" ref="F18">INDEX(military_assets!C:C,mil_ass_ru_start!$B18)</f>
        <v>0</v>
      </c>
      <c r="G18" cm="1">
        <f t="array" ref="G18">INDEX(military_assets!D:D,mil_ass_ru_start!$B18)</f>
        <v>0</v>
      </c>
      <c r="H18" cm="1">
        <f t="array" ref="H18">INDEX(military_assets!E:E,mil_ass_ru_start!$B18)</f>
        <v>2</v>
      </c>
      <c r="I18" cm="1">
        <f t="array" ref="I18">INDEX(military_assets!F:F,mil_ass_ru_start!$B18)</f>
        <v>0</v>
      </c>
      <c r="J18" cm="1">
        <f t="array" ref="J18">INDEX(military_assets!G:G,mil_ass_ru_start!$B18)</f>
        <v>2</v>
      </c>
      <c r="K18" cm="1">
        <f t="array" ref="K18">INDEX(military_assets!H:H,mil_ass_ru_start!$B18)</f>
        <v>1</v>
      </c>
      <c r="L18" t="str" cm="1">
        <f t="array" ref="L18">INDEX(military_assets!I:I,mil_ass_ru_start!$B18)</f>
        <v>RUS</v>
      </c>
      <c r="M18" t="str" cm="1">
        <f t="array" ref="M18">INDEX(military_assets!J:J,mil_ass_ru_start!$B18)</f>
        <v>Ship</v>
      </c>
      <c r="N18" t="str" cm="1">
        <f t="array" ref="N18">INDEX(military_assets!K:K,mil_ass_ru_start!$B18)</f>
        <v xml:space="preserve">
</v>
      </c>
      <c r="O18" t="str" cm="1">
        <f t="array" ref="O18">INDEX(military_assets!L:L,mil_ass_ru_start!$B18)</f>
        <v>Images/sovremenny.jpg</v>
      </c>
      <c r="P18" t="str" cm="1">
        <f t="array" ref="P18">INDEX(military_assets!M:M,mil_ass_ru_start!$B18)</f>
        <v>With a name that means "modern" in Russian, they are the oldest class of destroyer in the Russian Navy.</v>
      </c>
      <c r="Q18" t="str" cm="1">
        <f t="array" ref="Q18">INDEX(military_assets!N:N,mil_ass_ru_start!$B18)</f>
        <v>0.0.1</v>
      </c>
    </row>
    <row r="19" spans="1:17" x14ac:dyDescent="0.25">
      <c r="A19">
        <v>0</v>
      </c>
      <c r="B19">
        <v>28</v>
      </c>
      <c r="C19" s="3" t="s">
        <v>301</v>
      </c>
      <c r="D19" t="str" cm="1">
        <f t="array" ref="D19">INDEX(military_assets!A:A,mil_ass_ru_start!$B19)</f>
        <v>Sovremanny Class DDG</v>
      </c>
      <c r="E19" cm="1">
        <f t="array" ref="E19">INDEX(military_assets!B:B,mil_ass_ru_start!$B19)</f>
        <v>0</v>
      </c>
      <c r="F19" cm="1">
        <f t="array" ref="F19">INDEX(military_assets!C:C,mil_ass_ru_start!$B19)</f>
        <v>0</v>
      </c>
      <c r="G19" cm="1">
        <f t="array" ref="G19">INDEX(military_assets!D:D,mil_ass_ru_start!$B19)</f>
        <v>0</v>
      </c>
      <c r="H19" cm="1">
        <f t="array" ref="H19">INDEX(military_assets!E:E,mil_ass_ru_start!$B19)</f>
        <v>2</v>
      </c>
      <c r="I19" cm="1">
        <f t="array" ref="I19">INDEX(military_assets!F:F,mil_ass_ru_start!$B19)</f>
        <v>0</v>
      </c>
      <c r="J19" cm="1">
        <f t="array" ref="J19">INDEX(military_assets!G:G,mil_ass_ru_start!$B19)</f>
        <v>2</v>
      </c>
      <c r="K19" cm="1">
        <f t="array" ref="K19">INDEX(military_assets!H:H,mil_ass_ru_start!$B19)</f>
        <v>1</v>
      </c>
      <c r="L19" t="str" cm="1">
        <f t="array" ref="L19">INDEX(military_assets!I:I,mil_ass_ru_start!$B19)</f>
        <v>RUS</v>
      </c>
      <c r="M19" t="str" cm="1">
        <f t="array" ref="M19">INDEX(military_assets!J:J,mil_ass_ru_start!$B19)</f>
        <v>Ship</v>
      </c>
      <c r="N19" t="str" cm="1">
        <f t="array" ref="N19">INDEX(military_assets!K:K,mil_ass_ru_start!$B19)</f>
        <v xml:space="preserve">
</v>
      </c>
      <c r="O19" t="str" cm="1">
        <f t="array" ref="O19">INDEX(military_assets!L:L,mil_ass_ru_start!$B19)</f>
        <v>Images/sovremenny.jpg</v>
      </c>
      <c r="P19" t="str" cm="1">
        <f t="array" ref="P19">INDEX(military_assets!M:M,mil_ass_ru_start!$B19)</f>
        <v>With a name that means "modern" in Russian, they are the oldest class of destroyer in the Russian Navy.</v>
      </c>
      <c r="Q19" t="str" cm="1">
        <f t="array" ref="Q19">INDEX(military_assets!N:N,mil_ass_ru_start!$B19)</f>
        <v>0.0.1</v>
      </c>
    </row>
    <row r="20" spans="1:17" x14ac:dyDescent="0.25">
      <c r="A20">
        <v>0</v>
      </c>
      <c r="B20">
        <v>20</v>
      </c>
      <c r="C20" s="3" t="s">
        <v>141</v>
      </c>
      <c r="D20" t="str" cm="1">
        <f t="array" ref="D20">INDEX(military_assets!A:A,mil_ass_ru_start!$B20)</f>
        <v>Gorshkov Class FFG</v>
      </c>
      <c r="E20" cm="1">
        <f t="array" ref="E20">INDEX(military_assets!B:B,mil_ass_ru_start!$B20)</f>
        <v>0</v>
      </c>
      <c r="F20" cm="1">
        <f t="array" ref="F20">INDEX(military_assets!C:C,mil_ass_ru_start!$B20)</f>
        <v>0</v>
      </c>
      <c r="G20" cm="1">
        <f t="array" ref="G20">INDEX(military_assets!D:D,mil_ass_ru_start!$B20)</f>
        <v>0</v>
      </c>
      <c r="H20" cm="1">
        <f t="array" ref="H20">INDEX(military_assets!E:E,mil_ass_ru_start!$B20)</f>
        <v>3</v>
      </c>
      <c r="I20" cm="1">
        <f t="array" ref="I20">INDEX(military_assets!F:F,mil_ass_ru_start!$B20)</f>
        <v>2</v>
      </c>
      <c r="J20" cm="1">
        <f t="array" ref="J20">INDEX(military_assets!G:G,mil_ass_ru_start!$B20)</f>
        <v>2</v>
      </c>
      <c r="K20" cm="1">
        <f t="array" ref="K20">INDEX(military_assets!H:H,mil_ass_ru_start!$B20)</f>
        <v>2</v>
      </c>
      <c r="L20" t="str" cm="1">
        <f t="array" ref="L20">INDEX(military_assets!I:I,mil_ass_ru_start!$B20)</f>
        <v>RUS</v>
      </c>
      <c r="M20" t="str" cm="1">
        <f t="array" ref="M20">INDEX(military_assets!J:J,mil_ass_ru_start!$B20)</f>
        <v>Ship</v>
      </c>
      <c r="N20" t="str" cm="1">
        <f t="array" ref="N20">INDEX(military_assets!K:K,mil_ass_ru_start!$B20)</f>
        <v xml:space="preserve">Hidden: Can be played face down. </v>
      </c>
      <c r="O20" t="str" cm="1">
        <f t="array" ref="O20">INDEX(military_assets!L:L,mil_ass_ru_start!$B20)</f>
        <v>Images/gorshkov.jpg</v>
      </c>
      <c r="P20" t="str" cm="1">
        <f t="array" ref="P20">INDEX(military_assets!M:M,mil_ass_ru_start!$B20)</f>
        <v>The cutting-edge Gorshkov frigates stick out in the largely-outdated Russian surface warfare fleet.</v>
      </c>
      <c r="Q20" t="str" cm="1">
        <f t="array" ref="Q20">INDEX(military_assets!N:N,mil_ass_ru_start!$B20)</f>
        <v>0.0.1</v>
      </c>
    </row>
    <row r="21" spans="1:17" x14ac:dyDescent="0.25">
      <c r="A21">
        <v>0</v>
      </c>
      <c r="B21">
        <v>20</v>
      </c>
      <c r="C21" s="3" t="s">
        <v>289</v>
      </c>
      <c r="D21" t="str" cm="1">
        <f t="array" ref="D21">INDEX(military_assets!A:A,mil_ass_ru_start!$B21)</f>
        <v>Gorshkov Class FFG</v>
      </c>
      <c r="E21" cm="1">
        <f t="array" ref="E21">INDEX(military_assets!B:B,mil_ass_ru_start!$B21)</f>
        <v>0</v>
      </c>
      <c r="F21" cm="1">
        <f t="array" ref="F21">INDEX(military_assets!C:C,mil_ass_ru_start!$B21)</f>
        <v>0</v>
      </c>
      <c r="G21" cm="1">
        <f t="array" ref="G21">INDEX(military_assets!D:D,mil_ass_ru_start!$B21)</f>
        <v>0</v>
      </c>
      <c r="H21" cm="1">
        <f t="array" ref="H21">INDEX(military_assets!E:E,mil_ass_ru_start!$B21)</f>
        <v>3</v>
      </c>
      <c r="I21" cm="1">
        <f t="array" ref="I21">INDEX(military_assets!F:F,mil_ass_ru_start!$B21)</f>
        <v>2</v>
      </c>
      <c r="J21" cm="1">
        <f t="array" ref="J21">INDEX(military_assets!G:G,mil_ass_ru_start!$B21)</f>
        <v>2</v>
      </c>
      <c r="K21" cm="1">
        <f t="array" ref="K21">INDEX(military_assets!H:H,mil_ass_ru_start!$B21)</f>
        <v>2</v>
      </c>
      <c r="L21" t="str" cm="1">
        <f t="array" ref="L21">INDEX(military_assets!I:I,mil_ass_ru_start!$B21)</f>
        <v>RUS</v>
      </c>
      <c r="M21" t="str" cm="1">
        <f t="array" ref="M21">INDEX(military_assets!J:J,mil_ass_ru_start!$B21)</f>
        <v>Ship</v>
      </c>
      <c r="N21" t="str" cm="1">
        <f t="array" ref="N21">INDEX(military_assets!K:K,mil_ass_ru_start!$B21)</f>
        <v xml:space="preserve">Hidden: Can be played face down. </v>
      </c>
      <c r="O21" t="str" cm="1">
        <f t="array" ref="O21">INDEX(military_assets!L:L,mil_ass_ru_start!$B21)</f>
        <v>Images/gorshkov.jpg</v>
      </c>
      <c r="P21" t="str" cm="1">
        <f t="array" ref="P21">INDEX(military_assets!M:M,mil_ass_ru_start!$B21)</f>
        <v>The cutting-edge Gorshkov frigates stick out in the largely-outdated Russian surface warfare fleet.</v>
      </c>
      <c r="Q21" t="str" cm="1">
        <f t="array" ref="Q21">INDEX(military_assets!N:N,mil_ass_ru_start!$B21)</f>
        <v>0.0.1</v>
      </c>
    </row>
    <row r="22" spans="1:17" x14ac:dyDescent="0.25">
      <c r="A22">
        <v>1</v>
      </c>
      <c r="B22">
        <v>21</v>
      </c>
      <c r="C22" s="3" t="s">
        <v>217</v>
      </c>
      <c r="D22" t="str" cm="1">
        <f t="array" ref="D22">INDEX(military_assets!A:A,mil_ass_ru_start!$B22)</f>
        <v>Yasen Class SSGN</v>
      </c>
      <c r="E22" cm="1">
        <f t="array" ref="E22">INDEX(military_assets!B:B,mil_ass_ru_start!$B22)</f>
        <v>0</v>
      </c>
      <c r="F22" cm="1">
        <f t="array" ref="F22">INDEX(military_assets!C:C,mil_ass_ru_start!$B22)</f>
        <v>0</v>
      </c>
      <c r="G22" cm="1">
        <f t="array" ref="G22">INDEX(military_assets!D:D,mil_ass_ru_start!$B22)</f>
        <v>0</v>
      </c>
      <c r="H22" cm="1">
        <f t="array" ref="H22">INDEX(military_assets!E:E,mil_ass_ru_start!$B22)</f>
        <v>5</v>
      </c>
      <c r="I22" cm="1">
        <f t="array" ref="I22">INDEX(military_assets!F:F,mil_ass_ru_start!$B22)</f>
        <v>0</v>
      </c>
      <c r="J22" cm="1">
        <f t="array" ref="J22">INDEX(military_assets!G:G,mil_ass_ru_start!$B22)</f>
        <v>3</v>
      </c>
      <c r="K22" cm="1">
        <f t="array" ref="K22">INDEX(military_assets!H:H,mil_ass_ru_start!$B22)</f>
        <v>5</v>
      </c>
      <c r="L22" t="str" cm="1">
        <f t="array" ref="L22">INDEX(military_assets!I:I,mil_ass_ru_start!$B22)</f>
        <v>RUS</v>
      </c>
      <c r="M22" t="str" cm="1">
        <f t="array" ref="M22">INDEX(military_assets!J:J,mil_ass_ru_start!$B22)</f>
        <v>Submarine</v>
      </c>
      <c r="N22" t="str" cm="1">
        <f t="array" ref="N22">INDEX(military_assets!K:K,mil_ass_ru_start!$B22)</f>
        <v>Hidden: Can be played face down. 
Ambush: This asset deals damage during the Ambush Damage Step.
Commerce Raider: When assaulting a player, this military asset's assault is equal to its attack.</v>
      </c>
      <c r="O22" t="str" cm="1">
        <f t="array" ref="O22">INDEX(military_assets!L:L,mil_ass_ru_start!$B22)</f>
        <v>Images/yasen.jpg</v>
      </c>
      <c r="P22" t="str" cm="1">
        <f t="array" ref="P22">INDEX(military_assets!M:M,mil_ass_ru_start!$B22)</f>
        <v>With more than twice the firepower of western submarines, the Yasen is Russia's best effort in no-expense-spared attack submarine development.</v>
      </c>
      <c r="Q22" t="str" cm="1">
        <f t="array" ref="Q22">INDEX(military_assets!N:N,mil_ass_ru_start!$B22)</f>
        <v>0.0.1</v>
      </c>
    </row>
    <row r="23" spans="1:17" x14ac:dyDescent="0.25">
      <c r="A23">
        <v>1</v>
      </c>
      <c r="B23">
        <v>21</v>
      </c>
      <c r="C23" s="3" t="s">
        <v>142</v>
      </c>
      <c r="D23" t="str" cm="1">
        <f t="array" ref="D23">INDEX(military_assets!A:A,mil_ass_ru_start!$B23)</f>
        <v>Yasen Class SSGN</v>
      </c>
      <c r="E23" cm="1">
        <f t="array" ref="E23">INDEX(military_assets!B:B,mil_ass_ru_start!$B23)</f>
        <v>0</v>
      </c>
      <c r="F23" cm="1">
        <f t="array" ref="F23">INDEX(military_assets!C:C,mil_ass_ru_start!$B23)</f>
        <v>0</v>
      </c>
      <c r="G23" cm="1">
        <f t="array" ref="G23">INDEX(military_assets!D:D,mil_ass_ru_start!$B23)</f>
        <v>0</v>
      </c>
      <c r="H23" cm="1">
        <f t="array" ref="H23">INDEX(military_assets!E:E,mil_ass_ru_start!$B23)</f>
        <v>5</v>
      </c>
      <c r="I23" cm="1">
        <f t="array" ref="I23">INDEX(military_assets!F:F,mil_ass_ru_start!$B23)</f>
        <v>0</v>
      </c>
      <c r="J23" cm="1">
        <f t="array" ref="J23">INDEX(military_assets!G:G,mil_ass_ru_start!$B23)</f>
        <v>3</v>
      </c>
      <c r="K23" cm="1">
        <f t="array" ref="K23">INDEX(military_assets!H:H,mil_ass_ru_start!$B23)</f>
        <v>5</v>
      </c>
      <c r="L23" t="str" cm="1">
        <f t="array" ref="L23">INDEX(military_assets!I:I,mil_ass_ru_start!$B23)</f>
        <v>RUS</v>
      </c>
      <c r="M23" t="str" cm="1">
        <f t="array" ref="M23">INDEX(military_assets!J:J,mil_ass_ru_start!$B23)</f>
        <v>Submarine</v>
      </c>
      <c r="N23" t="str" cm="1">
        <f t="array" ref="N23">INDEX(military_assets!K:K,mil_ass_ru_start!$B23)</f>
        <v>Hidden: Can be played face down. 
Ambush: This asset deals damage during the Ambush Damage Step.
Commerce Raider: When assaulting a player, this military asset's assault is equal to its attack.</v>
      </c>
      <c r="O23" t="str" cm="1">
        <f t="array" ref="O23">INDEX(military_assets!L:L,mil_ass_ru_start!$B23)</f>
        <v>Images/yasen.jpg</v>
      </c>
      <c r="P23" t="str" cm="1">
        <f t="array" ref="P23">INDEX(military_assets!M:M,mil_ass_ru_start!$B23)</f>
        <v>With more than twice the firepower of western submarines, the Yasen is Russia's best effort in no-expense-spared attack submarine development.</v>
      </c>
      <c r="Q23" t="str" cm="1">
        <f t="array" ref="Q23">INDEX(military_assets!N:N,mil_ass_ru_start!$B23)</f>
        <v>0.0.1</v>
      </c>
    </row>
    <row r="24" spans="1:17" x14ac:dyDescent="0.25">
      <c r="A24">
        <v>0</v>
      </c>
      <c r="B24">
        <v>21</v>
      </c>
      <c r="C24" s="3" t="s">
        <v>143</v>
      </c>
      <c r="D24" t="str" cm="1">
        <f t="array" ref="D24">INDEX(military_assets!A:A,mil_ass_ru_start!$B24)</f>
        <v>Yasen Class SSGN</v>
      </c>
      <c r="E24" cm="1">
        <f t="array" ref="E24">INDEX(military_assets!B:B,mil_ass_ru_start!$B24)</f>
        <v>0</v>
      </c>
      <c r="F24" cm="1">
        <f t="array" ref="F24">INDEX(military_assets!C:C,mil_ass_ru_start!$B24)</f>
        <v>0</v>
      </c>
      <c r="G24" cm="1">
        <f t="array" ref="G24">INDEX(military_assets!D:D,mil_ass_ru_start!$B24)</f>
        <v>0</v>
      </c>
      <c r="H24" cm="1">
        <f t="array" ref="H24">INDEX(military_assets!E:E,mil_ass_ru_start!$B24)</f>
        <v>5</v>
      </c>
      <c r="I24" cm="1">
        <f t="array" ref="I24">INDEX(military_assets!F:F,mil_ass_ru_start!$B24)</f>
        <v>0</v>
      </c>
      <c r="J24" cm="1">
        <f t="array" ref="J24">INDEX(military_assets!G:G,mil_ass_ru_start!$B24)</f>
        <v>3</v>
      </c>
      <c r="K24" cm="1">
        <f t="array" ref="K24">INDEX(military_assets!H:H,mil_ass_ru_start!$B24)</f>
        <v>5</v>
      </c>
      <c r="L24" t="str" cm="1">
        <f t="array" ref="L24">INDEX(military_assets!I:I,mil_ass_ru_start!$B24)</f>
        <v>RUS</v>
      </c>
      <c r="M24" t="str" cm="1">
        <f t="array" ref="M24">INDEX(military_assets!J:J,mil_ass_ru_start!$B24)</f>
        <v>Submarine</v>
      </c>
      <c r="N24" t="str" cm="1">
        <f t="array" ref="N24">INDEX(military_assets!K:K,mil_ass_ru_start!$B24)</f>
        <v>Hidden: Can be played face down. 
Ambush: This asset deals damage during the Ambush Damage Step.
Commerce Raider: When assaulting a player, this military asset's assault is equal to its attack.</v>
      </c>
      <c r="O24" t="str" cm="1">
        <f t="array" ref="O24">INDEX(military_assets!L:L,mil_ass_ru_start!$B24)</f>
        <v>Images/yasen.jpg</v>
      </c>
      <c r="P24" t="str" cm="1">
        <f t="array" ref="P24">INDEX(military_assets!M:M,mil_ass_ru_start!$B24)</f>
        <v>With more than twice the firepower of western submarines, the Yasen is Russia's best effort in no-expense-spared attack submarine development.</v>
      </c>
      <c r="Q24" t="str" cm="1">
        <f t="array" ref="Q24">INDEX(military_assets!N:N,mil_ass_ru_start!$B24)</f>
        <v>0.0.1</v>
      </c>
    </row>
    <row r="25" spans="1:17" x14ac:dyDescent="0.25">
      <c r="A25">
        <v>1</v>
      </c>
      <c r="B25">
        <v>23</v>
      </c>
      <c r="C25" s="3" t="s">
        <v>145</v>
      </c>
      <c r="D25" t="str" cm="1">
        <f t="array" ref="D25">INDEX(military_assets!A:A,mil_ass_ru_start!$B25)</f>
        <v>Oscar II Class SSGN</v>
      </c>
      <c r="E25" cm="1">
        <f t="array" ref="E25">INDEX(military_assets!B:B,mil_ass_ru_start!$B25)</f>
        <v>0</v>
      </c>
      <c r="F25" cm="1">
        <f t="array" ref="F25">INDEX(military_assets!C:C,mil_ass_ru_start!$B25)</f>
        <v>0</v>
      </c>
      <c r="G25" cm="1">
        <f t="array" ref="G25">INDEX(military_assets!D:D,mil_ass_ru_start!$B25)</f>
        <v>0</v>
      </c>
      <c r="H25" cm="1">
        <f t="array" ref="H25">INDEX(military_assets!E:E,mil_ass_ru_start!$B25)</f>
        <v>4</v>
      </c>
      <c r="I25" cm="1">
        <f t="array" ref="I25">INDEX(military_assets!F:F,mil_ass_ru_start!$B25)</f>
        <v>0</v>
      </c>
      <c r="J25" cm="1">
        <f t="array" ref="J25">INDEX(military_assets!G:G,mil_ass_ru_start!$B25)</f>
        <v>1</v>
      </c>
      <c r="K25" cm="1">
        <f t="array" ref="K25">INDEX(military_assets!H:H,mil_ass_ru_start!$B25)</f>
        <v>3</v>
      </c>
      <c r="L25" t="str" cm="1">
        <f t="array" ref="L25">INDEX(military_assets!I:I,mil_ass_ru_start!$B25)</f>
        <v>RUS</v>
      </c>
      <c r="M25" t="str" cm="1">
        <f t="array" ref="M25">INDEX(military_assets!J:J,mil_ass_ru_start!$B25)</f>
        <v>Submarine</v>
      </c>
      <c r="N25" t="str" cm="1">
        <f t="array" ref="N25">INDEX(military_assets!K:K,mil_ass_ru_start!$B25)</f>
        <v>Hidden: Can be played face down. 
Ambush: This asset deals damage during the Ambush Damage Step.
Commerce Raider: When assaulting a player, this military asset's assault is equal to its attack.</v>
      </c>
      <c r="O25" t="str" cm="1">
        <f t="array" ref="O25">INDEX(military_assets!L:L,mil_ass_ru_start!$B25)</f>
        <v>Images/oscar2.jpg</v>
      </c>
      <c r="P25" t="str" cm="1">
        <f t="array" ref="P25">INDEX(military_assets!M:M,mil_ass_ru_start!$B25)</f>
        <v>The massive but aging Oscar is a relic of Cold War Soviet strategy. That said, it's large guided missile batteries are still a formidable threat to US carriers.</v>
      </c>
      <c r="Q25" t="str" cm="1">
        <f t="array" ref="Q25">INDEX(military_assets!N:N,mil_ass_ru_start!$B25)</f>
        <v>0.0.1</v>
      </c>
    </row>
    <row r="26" spans="1:17" x14ac:dyDescent="0.25">
      <c r="A26">
        <v>1</v>
      </c>
      <c r="B26">
        <v>23</v>
      </c>
      <c r="C26" s="3" t="s">
        <v>146</v>
      </c>
      <c r="D26" t="str" cm="1">
        <f t="array" ref="D26">INDEX(military_assets!A:A,mil_ass_ru_start!$B26)</f>
        <v>Oscar II Class SSGN</v>
      </c>
      <c r="E26" cm="1">
        <f t="array" ref="E26">INDEX(military_assets!B:B,mil_ass_ru_start!$B26)</f>
        <v>0</v>
      </c>
      <c r="F26" cm="1">
        <f t="array" ref="F26">INDEX(military_assets!C:C,mil_ass_ru_start!$B26)</f>
        <v>0</v>
      </c>
      <c r="G26" cm="1">
        <f t="array" ref="G26">INDEX(military_assets!D:D,mil_ass_ru_start!$B26)</f>
        <v>0</v>
      </c>
      <c r="H26" cm="1">
        <f t="array" ref="H26">INDEX(military_assets!E:E,mil_ass_ru_start!$B26)</f>
        <v>4</v>
      </c>
      <c r="I26" cm="1">
        <f t="array" ref="I26">INDEX(military_assets!F:F,mil_ass_ru_start!$B26)</f>
        <v>0</v>
      </c>
      <c r="J26" cm="1">
        <f t="array" ref="J26">INDEX(military_assets!G:G,mil_ass_ru_start!$B26)</f>
        <v>1</v>
      </c>
      <c r="K26" cm="1">
        <f t="array" ref="K26">INDEX(military_assets!H:H,mil_ass_ru_start!$B26)</f>
        <v>3</v>
      </c>
      <c r="L26" t="str" cm="1">
        <f t="array" ref="L26">INDEX(military_assets!I:I,mil_ass_ru_start!$B26)</f>
        <v>RUS</v>
      </c>
      <c r="M26" t="str" cm="1">
        <f t="array" ref="M26">INDEX(military_assets!J:J,mil_ass_ru_start!$B26)</f>
        <v>Submarine</v>
      </c>
      <c r="N26" t="str" cm="1">
        <f t="array" ref="N26">INDEX(military_assets!K:K,mil_ass_ru_start!$B26)</f>
        <v>Hidden: Can be played face down. 
Ambush: This asset deals damage during the Ambush Damage Step.
Commerce Raider: When assaulting a player, this military asset's assault is equal to its attack.</v>
      </c>
      <c r="O26" t="str" cm="1">
        <f t="array" ref="O26">INDEX(military_assets!L:L,mil_ass_ru_start!$B26)</f>
        <v>Images/oscar2.jpg</v>
      </c>
      <c r="P26" t="str" cm="1">
        <f t="array" ref="P26">INDEX(military_assets!M:M,mil_ass_ru_start!$B26)</f>
        <v>The massive but aging Oscar is a relic of Cold War Soviet strategy. That said, it's large guided missile batteries are still a formidable threat to US carriers.</v>
      </c>
      <c r="Q26" t="str" cm="1">
        <f t="array" ref="Q26">INDEX(military_assets!N:N,mil_ass_ru_start!$B26)</f>
        <v>0.0.1</v>
      </c>
    </row>
    <row r="27" spans="1:17" x14ac:dyDescent="0.25">
      <c r="A27">
        <v>1</v>
      </c>
      <c r="B27">
        <v>23</v>
      </c>
      <c r="C27" s="3" t="s">
        <v>290</v>
      </c>
      <c r="D27" t="str" cm="1">
        <f t="array" ref="D27">INDEX(military_assets!A:A,mil_ass_ru_start!$B27)</f>
        <v>Oscar II Class SSGN</v>
      </c>
      <c r="E27" cm="1">
        <f t="array" ref="E27">INDEX(military_assets!B:B,mil_ass_ru_start!$B27)</f>
        <v>0</v>
      </c>
      <c r="F27" cm="1">
        <f t="array" ref="F27">INDEX(military_assets!C:C,mil_ass_ru_start!$B27)</f>
        <v>0</v>
      </c>
      <c r="G27" cm="1">
        <f t="array" ref="G27">INDEX(military_assets!D:D,mil_ass_ru_start!$B27)</f>
        <v>0</v>
      </c>
      <c r="H27" cm="1">
        <f t="array" ref="H27">INDEX(military_assets!E:E,mil_ass_ru_start!$B27)</f>
        <v>4</v>
      </c>
      <c r="I27" cm="1">
        <f t="array" ref="I27">INDEX(military_assets!F:F,mil_ass_ru_start!$B27)</f>
        <v>0</v>
      </c>
      <c r="J27" cm="1">
        <f t="array" ref="J27">INDEX(military_assets!G:G,mil_ass_ru_start!$B27)</f>
        <v>1</v>
      </c>
      <c r="K27" cm="1">
        <f t="array" ref="K27">INDEX(military_assets!H:H,mil_ass_ru_start!$B27)</f>
        <v>3</v>
      </c>
      <c r="L27" t="str" cm="1">
        <f t="array" ref="L27">INDEX(military_assets!I:I,mil_ass_ru_start!$B27)</f>
        <v>RUS</v>
      </c>
      <c r="M27" t="str" cm="1">
        <f t="array" ref="M27">INDEX(military_assets!J:J,mil_ass_ru_start!$B27)</f>
        <v>Submarine</v>
      </c>
      <c r="N27" t="str" cm="1">
        <f t="array" ref="N27">INDEX(military_assets!K:K,mil_ass_ru_start!$B27)</f>
        <v>Hidden: Can be played face down. 
Ambush: This asset deals damage during the Ambush Damage Step.
Commerce Raider: When assaulting a player, this military asset's assault is equal to its attack.</v>
      </c>
      <c r="O27" t="str" cm="1">
        <f t="array" ref="O27">INDEX(military_assets!L:L,mil_ass_ru_start!$B27)</f>
        <v>Images/oscar2.jpg</v>
      </c>
      <c r="P27" t="str" cm="1">
        <f t="array" ref="P27">INDEX(military_assets!M:M,mil_ass_ru_start!$B27)</f>
        <v>The massive but aging Oscar is a relic of Cold War Soviet strategy. That said, it's large guided missile batteries are still a formidable threat to US carriers.</v>
      </c>
      <c r="Q27" t="str" cm="1">
        <f t="array" ref="Q27">INDEX(military_assets!N:N,mil_ass_ru_start!$B27)</f>
        <v>0.0.1</v>
      </c>
    </row>
    <row r="28" spans="1:17" x14ac:dyDescent="0.25">
      <c r="A28">
        <v>1</v>
      </c>
      <c r="B28">
        <v>23</v>
      </c>
      <c r="C28" s="3" t="s">
        <v>291</v>
      </c>
      <c r="D28" t="str" cm="1">
        <f t="array" ref="D28">INDEX(military_assets!A:A,mil_ass_ru_start!$B28)</f>
        <v>Oscar II Class SSGN</v>
      </c>
      <c r="E28" cm="1">
        <f t="array" ref="E28">INDEX(military_assets!B:B,mil_ass_ru_start!$B28)</f>
        <v>0</v>
      </c>
      <c r="F28" cm="1">
        <f t="array" ref="F28">INDEX(military_assets!C:C,mil_ass_ru_start!$B28)</f>
        <v>0</v>
      </c>
      <c r="G28" cm="1">
        <f t="array" ref="G28">INDEX(military_assets!D:D,mil_ass_ru_start!$B28)</f>
        <v>0</v>
      </c>
      <c r="H28" cm="1">
        <f t="array" ref="H28">INDEX(military_assets!E:E,mil_ass_ru_start!$B28)</f>
        <v>4</v>
      </c>
      <c r="I28" cm="1">
        <f t="array" ref="I28">INDEX(military_assets!F:F,mil_ass_ru_start!$B28)</f>
        <v>0</v>
      </c>
      <c r="J28" cm="1">
        <f t="array" ref="J28">INDEX(military_assets!G:G,mil_ass_ru_start!$B28)</f>
        <v>1</v>
      </c>
      <c r="K28" cm="1">
        <f t="array" ref="K28">INDEX(military_assets!H:H,mil_ass_ru_start!$B28)</f>
        <v>3</v>
      </c>
      <c r="L28" t="str" cm="1">
        <f t="array" ref="L28">INDEX(military_assets!I:I,mil_ass_ru_start!$B28)</f>
        <v>RUS</v>
      </c>
      <c r="M28" t="str" cm="1">
        <f t="array" ref="M28">INDEX(military_assets!J:J,mil_ass_ru_start!$B28)</f>
        <v>Submarine</v>
      </c>
      <c r="N28" t="str" cm="1">
        <f t="array" ref="N28">INDEX(military_assets!K:K,mil_ass_ru_start!$B28)</f>
        <v>Hidden: Can be played face down. 
Ambush: This asset deals damage during the Ambush Damage Step.
Commerce Raider: When assaulting a player, this military asset's assault is equal to its attack.</v>
      </c>
      <c r="O28" t="str" cm="1">
        <f t="array" ref="O28">INDEX(military_assets!L:L,mil_ass_ru_start!$B28)</f>
        <v>Images/oscar2.jpg</v>
      </c>
      <c r="P28" t="str" cm="1">
        <f t="array" ref="P28">INDEX(military_assets!M:M,mil_ass_ru_start!$B28)</f>
        <v>The massive but aging Oscar is a relic of Cold War Soviet strategy. That said, it's large guided missile batteries are still a formidable threat to US carriers.</v>
      </c>
      <c r="Q28" t="str" cm="1">
        <f t="array" ref="Q28">INDEX(military_assets!N:N,mil_ass_ru_start!$B28)</f>
        <v>0.0.1</v>
      </c>
    </row>
    <row r="29" spans="1:17" x14ac:dyDescent="0.25">
      <c r="A29">
        <v>0</v>
      </c>
      <c r="B29">
        <v>27</v>
      </c>
      <c r="C29" s="3" t="s">
        <v>148</v>
      </c>
      <c r="D29" t="str" cm="1">
        <f t="array" ref="D29">INDEX(military_assets!A:A,mil_ass_ru_start!$B29)</f>
        <v>Akula Class SSN</v>
      </c>
      <c r="E29" cm="1">
        <f t="array" ref="E29">INDEX(military_assets!B:B,mil_ass_ru_start!$B29)</f>
        <v>0</v>
      </c>
      <c r="F29" cm="1">
        <f t="array" ref="F29">INDEX(military_assets!C:C,mil_ass_ru_start!$B29)</f>
        <v>0</v>
      </c>
      <c r="G29" cm="1">
        <f t="array" ref="G29">INDEX(military_assets!D:D,mil_ass_ru_start!$B29)</f>
        <v>0</v>
      </c>
      <c r="H29" cm="1">
        <f t="array" ref="H29">INDEX(military_assets!E:E,mil_ass_ru_start!$B29)</f>
        <v>3</v>
      </c>
      <c r="I29" cm="1">
        <f t="array" ref="I29">INDEX(military_assets!F:F,mil_ass_ru_start!$B29)</f>
        <v>0</v>
      </c>
      <c r="J29" cm="1">
        <f t="array" ref="J29">INDEX(military_assets!G:G,mil_ass_ru_start!$B29)</f>
        <v>3</v>
      </c>
      <c r="K29" cm="1">
        <f t="array" ref="K29">INDEX(military_assets!H:H,mil_ass_ru_start!$B29)</f>
        <v>3</v>
      </c>
      <c r="L29" t="str" cm="1">
        <f t="array" ref="L29">INDEX(military_assets!I:I,mil_ass_ru_start!$B29)</f>
        <v>RUS</v>
      </c>
      <c r="M29" t="str" cm="1">
        <f t="array" ref="M29">INDEX(military_assets!J:J,mil_ass_ru_start!$B29)</f>
        <v>Submarine</v>
      </c>
      <c r="N29" t="str" cm="1">
        <f t="array" ref="N29">INDEX(military_assets!K:K,mil_ass_ru_start!$B29)</f>
        <v>Hidden: Can be played face down. 
Ambush: This asset deals damage during the Ambush Damage Step.
Commerce Raider: When assaulting a player, this military asset's assault is equal to its attack.</v>
      </c>
      <c r="O29" t="str" cm="1">
        <f t="array" ref="O29">INDEX(military_assets!L:L,mil_ass_ru_start!$B29)</f>
        <v>Images/akula.jpg</v>
      </c>
      <c r="P29" t="str" cm="1">
        <f t="array" ref="P29">INDEX(military_assets!M:M,mil_ass_ru_start!$B29)</f>
        <v>In Russian, akula means shark</v>
      </c>
      <c r="Q29" t="str" cm="1">
        <f t="array" ref="Q29">INDEX(military_assets!N:N,mil_ass_ru_start!$B29)</f>
        <v>0.0.1</v>
      </c>
    </row>
    <row r="30" spans="1:17" x14ac:dyDescent="0.25">
      <c r="A30">
        <v>0</v>
      </c>
      <c r="B30">
        <v>27</v>
      </c>
      <c r="C30" s="3" t="s">
        <v>147</v>
      </c>
      <c r="D30" t="str" cm="1">
        <f t="array" ref="D30">INDEX(military_assets!A:A,mil_ass_ru_start!$B30)</f>
        <v>Akula Class SSN</v>
      </c>
      <c r="E30" cm="1">
        <f t="array" ref="E30">INDEX(military_assets!B:B,mil_ass_ru_start!$B30)</f>
        <v>0</v>
      </c>
      <c r="F30" cm="1">
        <f t="array" ref="F30">INDEX(military_assets!C:C,mil_ass_ru_start!$B30)</f>
        <v>0</v>
      </c>
      <c r="G30" cm="1">
        <f t="array" ref="G30">INDEX(military_assets!D:D,mil_ass_ru_start!$B30)</f>
        <v>0</v>
      </c>
      <c r="H30" cm="1">
        <f t="array" ref="H30">INDEX(military_assets!E:E,mil_ass_ru_start!$B30)</f>
        <v>3</v>
      </c>
      <c r="I30" cm="1">
        <f t="array" ref="I30">INDEX(military_assets!F:F,mil_ass_ru_start!$B30)</f>
        <v>0</v>
      </c>
      <c r="J30" cm="1">
        <f t="array" ref="J30">INDEX(military_assets!G:G,mil_ass_ru_start!$B30)</f>
        <v>3</v>
      </c>
      <c r="K30" cm="1">
        <f t="array" ref="K30">INDEX(military_assets!H:H,mil_ass_ru_start!$B30)</f>
        <v>3</v>
      </c>
      <c r="L30" t="str" cm="1">
        <f t="array" ref="L30">INDEX(military_assets!I:I,mil_ass_ru_start!$B30)</f>
        <v>RUS</v>
      </c>
      <c r="M30" t="str" cm="1">
        <f t="array" ref="M30">INDEX(military_assets!J:J,mil_ass_ru_start!$B30)</f>
        <v>Submarine</v>
      </c>
      <c r="N30" t="str" cm="1">
        <f t="array" ref="N30">INDEX(military_assets!K:K,mil_ass_ru_start!$B30)</f>
        <v>Hidden: Can be played face down. 
Ambush: This asset deals damage during the Ambush Damage Step.
Commerce Raider: When assaulting a player, this military asset's assault is equal to its attack.</v>
      </c>
      <c r="O30" t="str" cm="1">
        <f t="array" ref="O30">INDEX(military_assets!L:L,mil_ass_ru_start!$B30)</f>
        <v>Images/akula.jpg</v>
      </c>
      <c r="P30" t="str" cm="1">
        <f t="array" ref="P30">INDEX(military_assets!M:M,mil_ass_ru_start!$B30)</f>
        <v>In Russian, akula means shark</v>
      </c>
      <c r="Q30" t="str" cm="1">
        <f t="array" ref="Q30">INDEX(military_assets!N:N,mil_ass_ru_start!$B30)</f>
        <v>0.0.1</v>
      </c>
    </row>
    <row r="31" spans="1:17" x14ac:dyDescent="0.25">
      <c r="A31">
        <v>1</v>
      </c>
      <c r="B31">
        <v>27</v>
      </c>
      <c r="C31" s="3" t="s">
        <v>220</v>
      </c>
      <c r="D31" t="str" cm="1">
        <f t="array" ref="D31">INDEX(military_assets!A:A,mil_ass_ru_start!$B31)</f>
        <v>Akula Class SSN</v>
      </c>
      <c r="E31" cm="1">
        <f t="array" ref="E31">INDEX(military_assets!B:B,mil_ass_ru_start!$B31)</f>
        <v>0</v>
      </c>
      <c r="F31" cm="1">
        <f t="array" ref="F31">INDEX(military_assets!C:C,mil_ass_ru_start!$B31)</f>
        <v>0</v>
      </c>
      <c r="G31" cm="1">
        <f t="array" ref="G31">INDEX(military_assets!D:D,mil_ass_ru_start!$B31)</f>
        <v>0</v>
      </c>
      <c r="H31" cm="1">
        <f t="array" ref="H31">INDEX(military_assets!E:E,mil_ass_ru_start!$B31)</f>
        <v>3</v>
      </c>
      <c r="I31" cm="1">
        <f t="array" ref="I31">INDEX(military_assets!F:F,mil_ass_ru_start!$B31)</f>
        <v>0</v>
      </c>
      <c r="J31" cm="1">
        <f t="array" ref="J31">INDEX(military_assets!G:G,mil_ass_ru_start!$B31)</f>
        <v>3</v>
      </c>
      <c r="K31" cm="1">
        <f t="array" ref="K31">INDEX(military_assets!H:H,mil_ass_ru_start!$B31)</f>
        <v>3</v>
      </c>
      <c r="L31" t="str" cm="1">
        <f t="array" ref="L31">INDEX(military_assets!I:I,mil_ass_ru_start!$B31)</f>
        <v>RUS</v>
      </c>
      <c r="M31" t="str" cm="1">
        <f t="array" ref="M31">INDEX(military_assets!J:J,mil_ass_ru_start!$B31)</f>
        <v>Submarine</v>
      </c>
      <c r="N31" t="str" cm="1">
        <f t="array" ref="N31">INDEX(military_assets!K:K,mil_ass_ru_start!$B31)</f>
        <v>Hidden: Can be played face down. 
Ambush: This asset deals damage during the Ambush Damage Step.
Commerce Raider: When assaulting a player, this military asset's assault is equal to its attack.</v>
      </c>
      <c r="O31" t="str" cm="1">
        <f t="array" ref="O31">INDEX(military_assets!L:L,mil_ass_ru_start!$B31)</f>
        <v>Images/akula.jpg</v>
      </c>
      <c r="P31" t="str" cm="1">
        <f t="array" ref="P31">INDEX(military_assets!M:M,mil_ass_ru_start!$B31)</f>
        <v>In Russian, akula means shark</v>
      </c>
      <c r="Q31" t="str" cm="1">
        <f t="array" ref="Q31">INDEX(military_assets!N:N,mil_ass_ru_start!$B31)</f>
        <v>0.0.1</v>
      </c>
    </row>
    <row r="32" spans="1:17" x14ac:dyDescent="0.25">
      <c r="A32">
        <v>1</v>
      </c>
      <c r="B32">
        <v>27</v>
      </c>
      <c r="C32" s="3" t="s">
        <v>292</v>
      </c>
      <c r="D32" t="str" cm="1">
        <f t="array" ref="D32">INDEX(military_assets!A:A,mil_ass_ru_start!$B32)</f>
        <v>Akula Class SSN</v>
      </c>
      <c r="E32" cm="1">
        <f t="array" ref="E32">INDEX(military_assets!B:B,mil_ass_ru_start!$B32)</f>
        <v>0</v>
      </c>
      <c r="F32" cm="1">
        <f t="array" ref="F32">INDEX(military_assets!C:C,mil_ass_ru_start!$B32)</f>
        <v>0</v>
      </c>
      <c r="G32" cm="1">
        <f t="array" ref="G32">INDEX(military_assets!D:D,mil_ass_ru_start!$B32)</f>
        <v>0</v>
      </c>
      <c r="H32" cm="1">
        <f t="array" ref="H32">INDEX(military_assets!E:E,mil_ass_ru_start!$B32)</f>
        <v>3</v>
      </c>
      <c r="I32" cm="1">
        <f t="array" ref="I32">INDEX(military_assets!F:F,mil_ass_ru_start!$B32)</f>
        <v>0</v>
      </c>
      <c r="J32" cm="1">
        <f t="array" ref="J32">INDEX(military_assets!G:G,mil_ass_ru_start!$B32)</f>
        <v>3</v>
      </c>
      <c r="K32" cm="1">
        <f t="array" ref="K32">INDEX(military_assets!H:H,mil_ass_ru_start!$B32)</f>
        <v>3</v>
      </c>
      <c r="L32" t="str" cm="1">
        <f t="array" ref="L32">INDEX(military_assets!I:I,mil_ass_ru_start!$B32)</f>
        <v>RUS</v>
      </c>
      <c r="M32" t="str" cm="1">
        <f t="array" ref="M32">INDEX(military_assets!J:J,mil_ass_ru_start!$B32)</f>
        <v>Submarine</v>
      </c>
      <c r="N32" t="str" cm="1">
        <f t="array" ref="N32">INDEX(military_assets!K:K,mil_ass_ru_start!$B32)</f>
        <v>Hidden: Can be played face down. 
Ambush: This asset deals damage during the Ambush Damage Step.
Commerce Raider: When assaulting a player, this military asset's assault is equal to its attack.</v>
      </c>
      <c r="O32" t="str" cm="1">
        <f t="array" ref="O32">INDEX(military_assets!L:L,mil_ass_ru_start!$B32)</f>
        <v>Images/akula.jpg</v>
      </c>
      <c r="P32" t="str" cm="1">
        <f t="array" ref="P32">INDEX(military_assets!M:M,mil_ass_ru_start!$B32)</f>
        <v>In Russian, akula means shark</v>
      </c>
      <c r="Q32" t="str" cm="1">
        <f t="array" ref="Q32">INDEX(military_assets!N:N,mil_ass_ru_start!$B32)</f>
        <v>0.0.1</v>
      </c>
    </row>
    <row r="33" spans="1:17" x14ac:dyDescent="0.25">
      <c r="A33">
        <v>1</v>
      </c>
      <c r="B33">
        <v>27</v>
      </c>
      <c r="C33" s="3" t="s">
        <v>293</v>
      </c>
      <c r="D33" t="str" cm="1">
        <f t="array" ref="D33">INDEX(military_assets!A:A,mil_ass_ru_start!$B33)</f>
        <v>Akula Class SSN</v>
      </c>
      <c r="E33" cm="1">
        <f t="array" ref="E33">INDEX(military_assets!B:B,mil_ass_ru_start!$B33)</f>
        <v>0</v>
      </c>
      <c r="F33" cm="1">
        <f t="array" ref="F33">INDEX(military_assets!C:C,mil_ass_ru_start!$B33)</f>
        <v>0</v>
      </c>
      <c r="G33" cm="1">
        <f t="array" ref="G33">INDEX(military_assets!D:D,mil_ass_ru_start!$B33)</f>
        <v>0</v>
      </c>
      <c r="H33" cm="1">
        <f t="array" ref="H33">INDEX(military_assets!E:E,mil_ass_ru_start!$B33)</f>
        <v>3</v>
      </c>
      <c r="I33" cm="1">
        <f t="array" ref="I33">INDEX(military_assets!F:F,mil_ass_ru_start!$B33)</f>
        <v>0</v>
      </c>
      <c r="J33" cm="1">
        <f t="array" ref="J33">INDEX(military_assets!G:G,mil_ass_ru_start!$B33)</f>
        <v>3</v>
      </c>
      <c r="K33" cm="1">
        <f t="array" ref="K33">INDEX(military_assets!H:H,mil_ass_ru_start!$B33)</f>
        <v>3</v>
      </c>
      <c r="L33" t="str" cm="1">
        <f t="array" ref="L33">INDEX(military_assets!I:I,mil_ass_ru_start!$B33)</f>
        <v>RUS</v>
      </c>
      <c r="M33" t="str" cm="1">
        <f t="array" ref="M33">INDEX(military_assets!J:J,mil_ass_ru_start!$B33)</f>
        <v>Submarine</v>
      </c>
      <c r="N33" t="str" cm="1">
        <f t="array" ref="N33">INDEX(military_assets!K:K,mil_ass_ru_start!$B33)</f>
        <v>Hidden: Can be played face down. 
Ambush: This asset deals damage during the Ambush Damage Step.
Commerce Raider: When assaulting a player, this military asset's assault is equal to its attack.</v>
      </c>
      <c r="O33" t="str" cm="1">
        <f t="array" ref="O33">INDEX(military_assets!L:L,mil_ass_ru_start!$B33)</f>
        <v>Images/akula.jpg</v>
      </c>
      <c r="P33" t="str" cm="1">
        <f t="array" ref="P33">INDEX(military_assets!M:M,mil_ass_ru_start!$B33)</f>
        <v>In Russian, akula means shark</v>
      </c>
      <c r="Q33" t="str" cm="1">
        <f t="array" ref="Q33">INDEX(military_assets!N:N,mil_ass_ru_start!$B33)</f>
        <v>0.0.1</v>
      </c>
    </row>
    <row r="34" spans="1:17" x14ac:dyDescent="0.25">
      <c r="A34">
        <v>1</v>
      </c>
      <c r="B34">
        <v>27</v>
      </c>
      <c r="C34" s="3" t="s">
        <v>315</v>
      </c>
      <c r="D34" t="str" cm="1">
        <f t="array" ref="D34">INDEX(military_assets!A:A,mil_ass_ru_start!$B34)</f>
        <v>Akula Class SSN</v>
      </c>
      <c r="E34" cm="1">
        <f t="array" ref="E34">INDEX(military_assets!B:B,mil_ass_ru_start!$B34)</f>
        <v>0</v>
      </c>
      <c r="F34" cm="1">
        <f t="array" ref="F34">INDEX(military_assets!C:C,mil_ass_ru_start!$B34)</f>
        <v>0</v>
      </c>
      <c r="G34" cm="1">
        <f t="array" ref="G34">INDEX(military_assets!D:D,mil_ass_ru_start!$B34)</f>
        <v>0</v>
      </c>
      <c r="H34" cm="1">
        <f t="array" ref="H34">INDEX(military_assets!E:E,mil_ass_ru_start!$B34)</f>
        <v>3</v>
      </c>
      <c r="I34" cm="1">
        <f t="array" ref="I34">INDEX(military_assets!F:F,mil_ass_ru_start!$B34)</f>
        <v>0</v>
      </c>
      <c r="J34" cm="1">
        <f t="array" ref="J34">INDEX(military_assets!G:G,mil_ass_ru_start!$B34)</f>
        <v>3</v>
      </c>
      <c r="K34" cm="1">
        <f t="array" ref="K34">INDEX(military_assets!H:H,mil_ass_ru_start!$B34)</f>
        <v>3</v>
      </c>
      <c r="L34" t="str" cm="1">
        <f t="array" ref="L34">INDEX(military_assets!I:I,mil_ass_ru_start!$B34)</f>
        <v>RUS</v>
      </c>
      <c r="M34" t="str" cm="1">
        <f t="array" ref="M34">INDEX(military_assets!J:J,mil_ass_ru_start!$B34)</f>
        <v>Submarine</v>
      </c>
      <c r="N34" t="str" cm="1">
        <f t="array" ref="N34">INDEX(military_assets!K:K,mil_ass_ru_start!$B34)</f>
        <v>Hidden: Can be played face down. 
Ambush: This asset deals damage during the Ambush Damage Step.
Commerce Raider: When assaulting a player, this military asset's assault is equal to its attack.</v>
      </c>
      <c r="O34" t="str" cm="1">
        <f t="array" ref="O34">INDEX(military_assets!L:L,mil_ass_ru_start!$B34)</f>
        <v>Images/akula.jpg</v>
      </c>
      <c r="P34" t="str" cm="1">
        <f t="array" ref="P34">INDEX(military_assets!M:M,mil_ass_ru_start!$B34)</f>
        <v>In Russian, akula means shark</v>
      </c>
      <c r="Q34" t="str" cm="1">
        <f t="array" ref="Q34">INDEX(military_assets!N:N,mil_ass_ru_start!$B34)</f>
        <v>0.0.1</v>
      </c>
    </row>
    <row r="35" spans="1:17" x14ac:dyDescent="0.25">
      <c r="A35">
        <v>0</v>
      </c>
      <c r="B35">
        <v>26</v>
      </c>
      <c r="C35" s="2" t="s">
        <v>218</v>
      </c>
      <c r="D35" t="str" cm="1">
        <f t="array" ref="D35">INDEX(military_assets!A:A,mil_ass_ru_start!$B35)</f>
        <v>Victor III Class SSN</v>
      </c>
      <c r="E35" cm="1">
        <f t="array" ref="E35">INDEX(military_assets!B:B,mil_ass_ru_start!$B35)</f>
        <v>0</v>
      </c>
      <c r="F35" cm="1">
        <f t="array" ref="F35">INDEX(military_assets!C:C,mil_ass_ru_start!$B35)</f>
        <v>0</v>
      </c>
      <c r="G35" cm="1">
        <f t="array" ref="G35">INDEX(military_assets!D:D,mil_ass_ru_start!$B35)</f>
        <v>0</v>
      </c>
      <c r="H35" cm="1">
        <f t="array" ref="H35">INDEX(military_assets!E:E,mil_ass_ru_start!$B35)</f>
        <v>2</v>
      </c>
      <c r="I35" cm="1">
        <f t="array" ref="I35">INDEX(military_assets!F:F,mil_ass_ru_start!$B35)</f>
        <v>0</v>
      </c>
      <c r="J35" cm="1">
        <f t="array" ref="J35">INDEX(military_assets!G:G,mil_ass_ru_start!$B35)</f>
        <v>1</v>
      </c>
      <c r="K35" cm="1">
        <f t="array" ref="K35">INDEX(military_assets!H:H,mil_ass_ru_start!$B35)</f>
        <v>1</v>
      </c>
      <c r="L35" t="str" cm="1">
        <f t="array" ref="L35">INDEX(military_assets!I:I,mil_ass_ru_start!$B35)</f>
        <v>RUS</v>
      </c>
      <c r="M35" t="str" cm="1">
        <f t="array" ref="M35">INDEX(military_assets!J:J,mil_ass_ru_start!$B35)</f>
        <v>Submarine</v>
      </c>
      <c r="N35" t="str" cm="1">
        <f t="array" ref="N35">INDEX(military_assets!K:K,mil_ass_ru_start!$B35)</f>
        <v>Hidden: Can be played face down. 
Ambush: This asset deals damage during the Ambush Damage Step.
Commerce Raider: When assaulting a player, this military asset's assault is equal to its attack.</v>
      </c>
      <c r="O35" t="str" cm="1">
        <f t="array" ref="O35">INDEX(military_assets!L:L,mil_ass_ru_start!$B35)</f>
        <v>Images/victor2.jpg</v>
      </c>
      <c r="P35" t="str" cm="1">
        <f t="array" ref="P35">INDEX(military_assets!M:M,mil_ass_ru_start!$B35)</f>
        <v>Nothing fancy, but it ain't bad for government work.</v>
      </c>
      <c r="Q35" t="str" cm="1">
        <f t="array" ref="Q35">INDEX(military_assets!N:N,mil_ass_ru_start!$B35)</f>
        <v>0.0.1</v>
      </c>
    </row>
    <row r="36" spans="1:17" x14ac:dyDescent="0.25">
      <c r="A36">
        <v>0</v>
      </c>
      <c r="B36">
        <v>26</v>
      </c>
      <c r="C36" s="3" t="s">
        <v>219</v>
      </c>
      <c r="D36" t="str" cm="1">
        <f t="array" ref="D36">INDEX(military_assets!A:A,mil_ass_ru_start!$B36)</f>
        <v>Victor III Class SSN</v>
      </c>
      <c r="E36" cm="1">
        <f t="array" ref="E36">INDEX(military_assets!B:B,mil_ass_ru_start!$B36)</f>
        <v>0</v>
      </c>
      <c r="F36" cm="1">
        <f t="array" ref="F36">INDEX(military_assets!C:C,mil_ass_ru_start!$B36)</f>
        <v>0</v>
      </c>
      <c r="G36" cm="1">
        <f t="array" ref="G36">INDEX(military_assets!D:D,mil_ass_ru_start!$B36)</f>
        <v>0</v>
      </c>
      <c r="H36" cm="1">
        <f t="array" ref="H36">INDEX(military_assets!E:E,mil_ass_ru_start!$B36)</f>
        <v>2</v>
      </c>
      <c r="I36" cm="1">
        <f t="array" ref="I36">INDEX(military_assets!F:F,mil_ass_ru_start!$B36)</f>
        <v>0</v>
      </c>
      <c r="J36" cm="1">
        <f t="array" ref="J36">INDEX(military_assets!G:G,mil_ass_ru_start!$B36)</f>
        <v>1</v>
      </c>
      <c r="K36" cm="1">
        <f t="array" ref="K36">INDEX(military_assets!H:H,mil_ass_ru_start!$B36)</f>
        <v>1</v>
      </c>
      <c r="L36" t="str" cm="1">
        <f t="array" ref="L36">INDEX(military_assets!I:I,mil_ass_ru_start!$B36)</f>
        <v>RUS</v>
      </c>
      <c r="M36" t="str" cm="1">
        <f t="array" ref="M36">INDEX(military_assets!J:J,mil_ass_ru_start!$B36)</f>
        <v>Submarine</v>
      </c>
      <c r="N36" t="str" cm="1">
        <f t="array" ref="N36">INDEX(military_assets!K:K,mil_ass_ru_start!$B36)</f>
        <v>Hidden: Can be played face down. 
Ambush: This asset deals damage during the Ambush Damage Step.
Commerce Raider: When assaulting a player, this military asset's assault is equal to its attack.</v>
      </c>
      <c r="O36" t="str" cm="1">
        <f t="array" ref="O36">INDEX(military_assets!L:L,mil_ass_ru_start!$B36)</f>
        <v>Images/victor2.jpg</v>
      </c>
      <c r="P36" t="str" cm="1">
        <f t="array" ref="P36">INDEX(military_assets!M:M,mil_ass_ru_start!$B36)</f>
        <v>Nothing fancy, but it ain't bad for government work.</v>
      </c>
      <c r="Q36" t="str" cm="1">
        <f t="array" ref="Q36">INDEX(military_assets!N:N,mil_ass_ru_start!$B36)</f>
        <v>0.0.1</v>
      </c>
    </row>
    <row r="37" spans="1:17" x14ac:dyDescent="0.25">
      <c r="A37">
        <v>1</v>
      </c>
      <c r="B37">
        <v>26</v>
      </c>
      <c r="C37" s="2" t="s">
        <v>294</v>
      </c>
      <c r="D37" t="str" cm="1">
        <f t="array" ref="D37">INDEX(military_assets!A:A,mil_ass_ru_start!$B37)</f>
        <v>Victor III Class SSN</v>
      </c>
      <c r="E37" cm="1">
        <f t="array" ref="E37">INDEX(military_assets!B:B,mil_ass_ru_start!$B37)</f>
        <v>0</v>
      </c>
      <c r="F37" cm="1">
        <f t="array" ref="F37">INDEX(military_assets!C:C,mil_ass_ru_start!$B37)</f>
        <v>0</v>
      </c>
      <c r="G37" cm="1">
        <f t="array" ref="G37">INDEX(military_assets!D:D,mil_ass_ru_start!$B37)</f>
        <v>0</v>
      </c>
      <c r="H37" cm="1">
        <f t="array" ref="H37">INDEX(military_assets!E:E,mil_ass_ru_start!$B37)</f>
        <v>2</v>
      </c>
      <c r="I37" cm="1">
        <f t="array" ref="I37">INDEX(military_assets!F:F,mil_ass_ru_start!$B37)</f>
        <v>0</v>
      </c>
      <c r="J37" cm="1">
        <f t="array" ref="J37">INDEX(military_assets!G:G,mil_ass_ru_start!$B37)</f>
        <v>1</v>
      </c>
      <c r="K37" cm="1">
        <f t="array" ref="K37">INDEX(military_assets!H:H,mil_ass_ru_start!$B37)</f>
        <v>1</v>
      </c>
      <c r="L37" t="str" cm="1">
        <f t="array" ref="L37">INDEX(military_assets!I:I,mil_ass_ru_start!$B37)</f>
        <v>RUS</v>
      </c>
      <c r="M37" t="str" cm="1">
        <f t="array" ref="M37">INDEX(military_assets!J:J,mil_ass_ru_start!$B37)</f>
        <v>Submarine</v>
      </c>
      <c r="N37" t="str" cm="1">
        <f t="array" ref="N37">INDEX(military_assets!K:K,mil_ass_ru_start!$B37)</f>
        <v>Hidden: Can be played face down. 
Ambush: This asset deals damage during the Ambush Damage Step.
Commerce Raider: When assaulting a player, this military asset's assault is equal to its attack.</v>
      </c>
      <c r="O37" t="str" cm="1">
        <f t="array" ref="O37">INDEX(military_assets!L:L,mil_ass_ru_start!$B37)</f>
        <v>Images/victor2.jpg</v>
      </c>
      <c r="P37" t="str" cm="1">
        <f t="array" ref="P37">INDEX(military_assets!M:M,mil_ass_ru_start!$B37)</f>
        <v>Nothing fancy, but it ain't bad for government work.</v>
      </c>
      <c r="Q37" t="str" cm="1">
        <f t="array" ref="Q37">INDEX(military_assets!N:N,mil_ass_ru_start!$B37)</f>
        <v>0.0.1</v>
      </c>
    </row>
    <row r="38" spans="1:17" x14ac:dyDescent="0.25">
      <c r="A38">
        <v>1</v>
      </c>
      <c r="B38">
        <v>26</v>
      </c>
      <c r="C38" s="3" t="s">
        <v>295</v>
      </c>
      <c r="D38" t="str" cm="1">
        <f t="array" ref="D38">INDEX(military_assets!A:A,mil_ass_ru_start!$B38)</f>
        <v>Victor III Class SSN</v>
      </c>
      <c r="E38" cm="1">
        <f t="array" ref="E38">INDEX(military_assets!B:B,mil_ass_ru_start!$B38)</f>
        <v>0</v>
      </c>
      <c r="F38" cm="1">
        <f t="array" ref="F38">INDEX(military_assets!C:C,mil_ass_ru_start!$B38)</f>
        <v>0</v>
      </c>
      <c r="G38" cm="1">
        <f t="array" ref="G38">INDEX(military_assets!D:D,mil_ass_ru_start!$B38)</f>
        <v>0</v>
      </c>
      <c r="H38" cm="1">
        <f t="array" ref="H38">INDEX(military_assets!E:E,mil_ass_ru_start!$B38)</f>
        <v>2</v>
      </c>
      <c r="I38" cm="1">
        <f t="array" ref="I38">INDEX(military_assets!F:F,mil_ass_ru_start!$B38)</f>
        <v>0</v>
      </c>
      <c r="J38" cm="1">
        <f t="array" ref="J38">INDEX(military_assets!G:G,mil_ass_ru_start!$B38)</f>
        <v>1</v>
      </c>
      <c r="K38" cm="1">
        <f t="array" ref="K38">INDEX(military_assets!H:H,mil_ass_ru_start!$B38)</f>
        <v>1</v>
      </c>
      <c r="L38" t="str" cm="1">
        <f t="array" ref="L38">INDEX(military_assets!I:I,mil_ass_ru_start!$B38)</f>
        <v>RUS</v>
      </c>
      <c r="M38" t="str" cm="1">
        <f t="array" ref="M38">INDEX(military_assets!J:J,mil_ass_ru_start!$B38)</f>
        <v>Submarine</v>
      </c>
      <c r="N38" t="str" cm="1">
        <f t="array" ref="N38">INDEX(military_assets!K:K,mil_ass_ru_start!$B38)</f>
        <v>Hidden: Can be played face down. 
Ambush: This asset deals damage during the Ambush Damage Step.
Commerce Raider: When assaulting a player, this military asset's assault is equal to its attack.</v>
      </c>
      <c r="O38" t="str" cm="1">
        <f t="array" ref="O38">INDEX(military_assets!L:L,mil_ass_ru_start!$B38)</f>
        <v>Images/victor2.jpg</v>
      </c>
      <c r="P38" t="str" cm="1">
        <f t="array" ref="P38">INDEX(military_assets!M:M,mil_ass_ru_start!$B38)</f>
        <v>Nothing fancy, but it ain't bad for government work.</v>
      </c>
      <c r="Q38" t="str" cm="1">
        <f t="array" ref="Q38">INDEX(military_assets!N:N,mil_ass_ru_start!$B38)</f>
        <v>0.0.1</v>
      </c>
    </row>
    <row r="39" spans="1:17" x14ac:dyDescent="0.25">
      <c r="A39">
        <v>0</v>
      </c>
      <c r="B39">
        <v>22</v>
      </c>
      <c r="C39" s="3" t="s">
        <v>144</v>
      </c>
      <c r="D39" t="str" cm="1">
        <f t="array" ref="D39">INDEX(military_assets!A:A,mil_ass_ru_start!$B39)</f>
        <v>Lada Class SSK</v>
      </c>
      <c r="E39" cm="1">
        <f t="array" ref="E39">INDEX(military_assets!B:B,mil_ass_ru_start!$B39)</f>
        <v>0</v>
      </c>
      <c r="F39" cm="1">
        <f t="array" ref="F39">INDEX(military_assets!C:C,mil_ass_ru_start!$B39)</f>
        <v>0</v>
      </c>
      <c r="G39" cm="1">
        <f t="array" ref="G39">INDEX(military_assets!D:D,mil_ass_ru_start!$B39)</f>
        <v>0</v>
      </c>
      <c r="H39" cm="1">
        <f t="array" ref="H39">INDEX(military_assets!E:E,mil_ass_ru_start!$B39)</f>
        <v>3</v>
      </c>
      <c r="I39" cm="1">
        <f t="array" ref="I39">INDEX(military_assets!F:F,mil_ass_ru_start!$B39)</f>
        <v>0</v>
      </c>
      <c r="J39" cm="1">
        <f t="array" ref="J39">INDEX(military_assets!G:G,mil_ass_ru_start!$B39)</f>
        <v>2</v>
      </c>
      <c r="K39" cm="1">
        <f t="array" ref="K39">INDEX(military_assets!H:H,mil_ass_ru_start!$B39)</f>
        <v>2</v>
      </c>
      <c r="L39" t="str" cm="1">
        <f t="array" ref="L39">INDEX(military_assets!I:I,mil_ass_ru_start!$B39)</f>
        <v>RUS</v>
      </c>
      <c r="M39" t="str" cm="1">
        <f t="array" ref="M39">INDEX(military_assets!J:J,mil_ass_ru_start!$B39)</f>
        <v>Submarine</v>
      </c>
      <c r="N39" t="str" cm="1">
        <f t="array" ref="N39">INDEX(military_assets!K:K,mil_ass_ru_start!$B39)</f>
        <v>Hidden: Can be played face down. 
Ambush: This asset deals damage during the Ambush Damage Step.
Coastal Defender: Cannot be declared as an attacker.</v>
      </c>
      <c r="O39" t="str" cm="1">
        <f t="array" ref="O39">INDEX(military_assets!L:L,mil_ass_ru_start!$B39)</f>
        <v>Images/lada.jpg</v>
      </c>
      <c r="P39" t="str" cm="1">
        <f t="array" ref="P39">INDEX(military_assets!M:M,mil_ass_ru_start!$B39)</f>
        <v>Although shorter-ranged than nuclear attack submarines, diesel-electric attack submarines are smaller, quieter and nearly as well armed.</v>
      </c>
      <c r="Q39" t="str" cm="1">
        <f t="array" ref="Q39">INDEX(military_assets!N:N,mil_ass_ru_start!$B39)</f>
        <v>0.0.1</v>
      </c>
    </row>
    <row r="40" spans="1:17" x14ac:dyDescent="0.25">
      <c r="A40">
        <v>0</v>
      </c>
      <c r="B40">
        <v>22</v>
      </c>
      <c r="C40" s="3" t="s">
        <v>53</v>
      </c>
      <c r="D40" t="str" cm="1">
        <f t="array" ref="D40">INDEX(military_assets!A:A,mil_ass_ru_start!$B40)</f>
        <v>Lada Class SSK</v>
      </c>
      <c r="E40" cm="1">
        <f t="array" ref="E40">INDEX(military_assets!B:B,mil_ass_ru_start!$B40)</f>
        <v>0</v>
      </c>
      <c r="F40" cm="1">
        <f t="array" ref="F40">INDEX(military_assets!C:C,mil_ass_ru_start!$B40)</f>
        <v>0</v>
      </c>
      <c r="G40" cm="1">
        <f t="array" ref="G40">INDEX(military_assets!D:D,mil_ass_ru_start!$B40)</f>
        <v>0</v>
      </c>
      <c r="H40" cm="1">
        <f t="array" ref="H40">INDEX(military_assets!E:E,mil_ass_ru_start!$B40)</f>
        <v>3</v>
      </c>
      <c r="I40" cm="1">
        <f t="array" ref="I40">INDEX(military_assets!F:F,mil_ass_ru_start!$B40)</f>
        <v>0</v>
      </c>
      <c r="J40" cm="1">
        <f t="array" ref="J40">INDEX(military_assets!G:G,mil_ass_ru_start!$B40)</f>
        <v>2</v>
      </c>
      <c r="K40" cm="1">
        <f t="array" ref="K40">INDEX(military_assets!H:H,mil_ass_ru_start!$B40)</f>
        <v>2</v>
      </c>
      <c r="L40" t="str" cm="1">
        <f t="array" ref="L40">INDEX(military_assets!I:I,mil_ass_ru_start!$B40)</f>
        <v>RUS</v>
      </c>
      <c r="M40" t="str" cm="1">
        <f t="array" ref="M40">INDEX(military_assets!J:J,mil_ass_ru_start!$B40)</f>
        <v>Submarine</v>
      </c>
      <c r="N40" t="str" cm="1">
        <f t="array" ref="N40">INDEX(military_assets!K:K,mil_ass_ru_start!$B40)</f>
        <v>Hidden: Can be played face down. 
Ambush: This asset deals damage during the Ambush Damage Step.
Coastal Defender: Cannot be declared as an attacker.</v>
      </c>
      <c r="O40" t="str" cm="1">
        <f t="array" ref="O40">INDEX(military_assets!L:L,mil_ass_ru_start!$B40)</f>
        <v>Images/lada.jpg</v>
      </c>
      <c r="P40" t="str" cm="1">
        <f t="array" ref="P40">INDEX(military_assets!M:M,mil_ass_ru_start!$B40)</f>
        <v>Although shorter-ranged than nuclear attack submarines, diesel-electric attack submarines are smaller, quieter and nearly as well armed.</v>
      </c>
      <c r="Q40" t="str" cm="1">
        <f t="array" ref="Q40">INDEX(military_assets!N:N,mil_ass_ru_start!$B40)</f>
        <v>0.0.1</v>
      </c>
    </row>
    <row r="41" spans="1:17" x14ac:dyDescent="0.25">
      <c r="A41">
        <v>0</v>
      </c>
      <c r="B41">
        <v>24</v>
      </c>
      <c r="C41" s="3" t="s">
        <v>296</v>
      </c>
      <c r="D41" t="str" cm="1">
        <f t="array" ref="D41">INDEX(military_assets!A:A,mil_ass_ru_start!$B41)</f>
        <v>Mig-29K Fulcrum-D</v>
      </c>
      <c r="E41" cm="1">
        <f t="array" ref="E41">INDEX(military_assets!B:B,mil_ass_ru_start!$B41)</f>
        <v>0</v>
      </c>
      <c r="F41" cm="1">
        <f t="array" ref="F41">INDEX(military_assets!C:C,mil_ass_ru_start!$B41)</f>
        <v>0</v>
      </c>
      <c r="G41" cm="1">
        <f t="array" ref="G41">INDEX(military_assets!D:D,mil_ass_ru_start!$B41)</f>
        <v>0</v>
      </c>
      <c r="H41" cm="1">
        <f t="array" ref="H41">INDEX(military_assets!E:E,mil_ass_ru_start!$B41)</f>
        <v>4</v>
      </c>
      <c r="I41" cm="1">
        <f t="array" ref="I41">INDEX(military_assets!F:F,mil_ass_ru_start!$B41)</f>
        <v>3</v>
      </c>
      <c r="J41" cm="1">
        <f t="array" ref="J41">INDEX(military_assets!G:G,mil_ass_ru_start!$B41)</f>
        <v>3</v>
      </c>
      <c r="K41" cm="1">
        <f t="array" ref="K41">INDEX(military_assets!H:H,mil_ass_ru_start!$B41)</f>
        <v>1</v>
      </c>
      <c r="L41" t="str" cm="1">
        <f t="array" ref="L41">INDEX(military_assets!I:I,mil_ass_ru_start!$B41)</f>
        <v>RUS</v>
      </c>
      <c r="M41" t="str" cm="1">
        <f t="array" ref="M41">INDEX(military_assets!J:J,mil_ass_ru_start!$B41)</f>
        <v>Squadron</v>
      </c>
      <c r="N41" t="str" cm="1">
        <f t="array" ref="N41">INDEX(military_assets!K:K,mil_ass_ru_start!$B41)</f>
        <v>Hidden: Can be played face down. 
STOBAR-Compatible.</v>
      </c>
      <c r="O41" t="str" cm="1">
        <f t="array" ref="O41">INDEX(military_assets!L:L,mil_ass_ru_start!$B41)</f>
        <v>Images/mig29k.jpg</v>
      </c>
      <c r="P41" t="str" cm="1">
        <f t="array" ref="P41">INDEX(military_assets!M:M,mil_ass_ru_start!$B41)</f>
        <v>With a $15M unit cost conceivably affordable by even second-tier NBA starters, the Mig-29K is proof that performance and price are not always at odds.</v>
      </c>
      <c r="Q41" t="str" cm="1">
        <f t="array" ref="Q41">INDEX(military_assets!N:N,mil_ass_ru_start!$B41)</f>
        <v>0.0.1</v>
      </c>
    </row>
    <row r="42" spans="1:17" x14ac:dyDescent="0.25">
      <c r="A42">
        <v>0</v>
      </c>
      <c r="B42">
        <v>24</v>
      </c>
      <c r="C42" s="3" t="s">
        <v>297</v>
      </c>
      <c r="D42" t="str" cm="1">
        <f t="array" ref="D42">INDEX(military_assets!A:A,mil_ass_ru_start!$B42)</f>
        <v>Mig-29K Fulcrum-D</v>
      </c>
      <c r="E42" cm="1">
        <f t="array" ref="E42">INDEX(military_assets!B:B,mil_ass_ru_start!$B42)</f>
        <v>0</v>
      </c>
      <c r="F42" cm="1">
        <f t="array" ref="F42">INDEX(military_assets!C:C,mil_ass_ru_start!$B42)</f>
        <v>0</v>
      </c>
      <c r="G42" cm="1">
        <f t="array" ref="G42">INDEX(military_assets!D:D,mil_ass_ru_start!$B42)</f>
        <v>0</v>
      </c>
      <c r="H42" cm="1">
        <f t="array" ref="H42">INDEX(military_assets!E:E,mil_ass_ru_start!$B42)</f>
        <v>4</v>
      </c>
      <c r="I42" cm="1">
        <f t="array" ref="I42">INDEX(military_assets!F:F,mil_ass_ru_start!$B42)</f>
        <v>3</v>
      </c>
      <c r="J42" cm="1">
        <f t="array" ref="J42">INDEX(military_assets!G:G,mil_ass_ru_start!$B42)</f>
        <v>3</v>
      </c>
      <c r="K42" cm="1">
        <f t="array" ref="K42">INDEX(military_assets!H:H,mil_ass_ru_start!$B42)</f>
        <v>1</v>
      </c>
      <c r="L42" t="str" cm="1">
        <f t="array" ref="L42">INDEX(military_assets!I:I,mil_ass_ru_start!$B42)</f>
        <v>RUS</v>
      </c>
      <c r="M42" t="str" cm="1">
        <f t="array" ref="M42">INDEX(military_assets!J:J,mil_ass_ru_start!$B42)</f>
        <v>Squadron</v>
      </c>
      <c r="N42" t="str" cm="1">
        <f t="array" ref="N42">INDEX(military_assets!K:K,mil_ass_ru_start!$B42)</f>
        <v>Hidden: Can be played face down. 
STOBAR-Compatible.</v>
      </c>
      <c r="O42" t="str" cm="1">
        <f t="array" ref="O42">INDEX(military_assets!L:L,mil_ass_ru_start!$B42)</f>
        <v>Images/mig29k.jpg</v>
      </c>
      <c r="P42" t="str" cm="1">
        <f t="array" ref="P42">INDEX(military_assets!M:M,mil_ass_ru_start!$B42)</f>
        <v>With a $15M unit cost conceivably affordable by even second-tier NBA starters, the Mig-29K is proof that performance and price are not always at odds.</v>
      </c>
      <c r="Q42" t="str" cm="1">
        <f t="array" ref="Q42">INDEX(military_assets!N:N,mil_ass_ru_start!$B42)</f>
        <v>0.0.1</v>
      </c>
    </row>
    <row r="43" spans="1:17" x14ac:dyDescent="0.25">
      <c r="A43">
        <v>0</v>
      </c>
      <c r="B43">
        <v>24</v>
      </c>
      <c r="C43" s="2" t="s">
        <v>298</v>
      </c>
      <c r="D43" t="str" cm="1">
        <f t="array" ref="D43">INDEX(military_assets!A:A,mil_ass_ru_start!$B43)</f>
        <v>Mig-29K Fulcrum-D</v>
      </c>
      <c r="E43" cm="1">
        <f t="array" ref="E43">INDEX(military_assets!B:B,mil_ass_ru_start!$B43)</f>
        <v>0</v>
      </c>
      <c r="F43" cm="1">
        <f t="array" ref="F43">INDEX(military_assets!C:C,mil_ass_ru_start!$B43)</f>
        <v>0</v>
      </c>
      <c r="G43" cm="1">
        <f t="array" ref="G43">INDEX(military_assets!D:D,mil_ass_ru_start!$B43)</f>
        <v>0</v>
      </c>
      <c r="H43" cm="1">
        <f t="array" ref="H43">INDEX(military_assets!E:E,mil_ass_ru_start!$B43)</f>
        <v>4</v>
      </c>
      <c r="I43" cm="1">
        <f t="array" ref="I43">INDEX(military_assets!F:F,mil_ass_ru_start!$B43)</f>
        <v>3</v>
      </c>
      <c r="J43" cm="1">
        <f t="array" ref="J43">INDEX(military_assets!G:G,mil_ass_ru_start!$B43)</f>
        <v>3</v>
      </c>
      <c r="K43" cm="1">
        <f t="array" ref="K43">INDEX(military_assets!H:H,mil_ass_ru_start!$B43)</f>
        <v>1</v>
      </c>
      <c r="L43" t="str" cm="1">
        <f t="array" ref="L43">INDEX(military_assets!I:I,mil_ass_ru_start!$B43)</f>
        <v>RUS</v>
      </c>
      <c r="M43" t="str" cm="1">
        <f t="array" ref="M43">INDEX(military_assets!J:J,mil_ass_ru_start!$B43)</f>
        <v>Squadron</v>
      </c>
      <c r="N43" t="str" cm="1">
        <f t="array" ref="N43">INDEX(military_assets!K:K,mil_ass_ru_start!$B43)</f>
        <v>Hidden: Can be played face down. 
STOBAR-Compatible.</v>
      </c>
      <c r="O43" t="str" cm="1">
        <f t="array" ref="O43">INDEX(military_assets!L:L,mil_ass_ru_start!$B43)</f>
        <v>Images/mig29k.jpg</v>
      </c>
      <c r="P43" t="str" cm="1">
        <f t="array" ref="P43">INDEX(military_assets!M:M,mil_ass_ru_start!$B43)</f>
        <v>With a $15M unit cost conceivably affordable by even second-tier NBA starters, the Mig-29K is proof that performance and price are not always at odds.</v>
      </c>
      <c r="Q43" t="str" cm="1">
        <f t="array" ref="Q43">INDEX(military_assets!N:N,mil_ass_ru_start!$B43)</f>
        <v>0.0.1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9C18E-8862-47D9-9C79-308882BAC5F3}">
  <sheetPr codeName="Sheet10"/>
  <dimension ref="A1:J45"/>
  <sheetViews>
    <sheetView workbookViewId="0">
      <selection activeCell="D2" sqref="D2"/>
    </sheetView>
  </sheetViews>
  <sheetFormatPr defaultRowHeight="15" x14ac:dyDescent="0.25"/>
  <cols>
    <col min="1" max="1" width="10.85546875" customWidth="1"/>
    <col min="2" max="2" width="5.28515625" customWidth="1"/>
    <col min="3" max="3" width="37.28515625" customWidth="1"/>
    <col min="4" max="4" width="36.5703125" customWidth="1"/>
    <col min="7" max="7" width="20" customWidth="1"/>
    <col min="8" max="8" width="25.7109375" customWidth="1"/>
  </cols>
  <sheetData>
    <row r="1" spans="1:10" x14ac:dyDescent="0.25">
      <c r="A1" t="s">
        <v>4</v>
      </c>
      <c r="B1" t="s">
        <v>117</v>
      </c>
      <c r="C1" t="s">
        <v>116</v>
      </c>
      <c r="D1" t="str">
        <f>actions!A1</f>
        <v>Title</v>
      </c>
      <c r="E1" t="str">
        <f>actions!B1</f>
        <v>Type</v>
      </c>
      <c r="F1" t="str">
        <f>actions!C1</f>
        <v>Roster</v>
      </c>
      <c r="G1" t="str">
        <f>actions!D1</f>
        <v>Description</v>
      </c>
      <c r="H1" t="str">
        <f>actions!E1</f>
        <v>Image</v>
      </c>
      <c r="I1" t="str">
        <f>actions!F1</f>
        <v>FlavorText</v>
      </c>
      <c r="J1" t="str">
        <f>actions!G1</f>
        <v>Version</v>
      </c>
    </row>
    <row r="2" spans="1:10" x14ac:dyDescent="0.25">
      <c r="A2">
        <v>1</v>
      </c>
      <c r="B2">
        <v>3</v>
      </c>
      <c r="C2" t="s">
        <v>175</v>
      </c>
      <c r="D2" t="str" cm="1">
        <f t="array" ref="D2">INDEX(actions!A:A,actions_all!$B2)</f>
        <v>Scuttlebutt</v>
      </c>
      <c r="E2" t="str" cm="1">
        <f t="array" ref="E2">INDEX(actions!B:B,actions_all!$B2)</f>
        <v>Tactic</v>
      </c>
      <c r="F2" t="str" cm="1">
        <f t="array" ref="F2">INDEX(actions!C:C,actions_all!$B2)</f>
        <v>USN</v>
      </c>
      <c r="G2" t="str" cm="1">
        <f t="array" ref="G2">INDEX(actions!D:D,actions_all!$B2)</f>
        <v>Look at and reorder the top 4 cards of your deck. You may put any number on the bottom of your deck.</v>
      </c>
      <c r="H2" t="str" cm="1">
        <f t="array" ref="H2">INDEX(actions!E:E,actions_all!$B2)</f>
        <v>Images/scuttlebutt.jpeg</v>
      </c>
      <c r="I2" t="str" cm="1">
        <f t="array" ref="I2">INDEX(actions!F:F,actions_all!$B2)</f>
        <v xml:space="preserve">
</v>
      </c>
      <c r="J2" t="str" cm="1">
        <f t="array" ref="J2">INDEX(actions!G:G,actions_all!$B2)</f>
        <v>0.0.1</v>
      </c>
    </row>
    <row r="3" spans="1:10" x14ac:dyDescent="0.25">
      <c r="A3">
        <v>1</v>
      </c>
      <c r="B3">
        <v>3</v>
      </c>
      <c r="C3" t="s">
        <v>177</v>
      </c>
      <c r="D3" t="str" cm="1">
        <f t="array" ref="D3">INDEX(actions!A:A,actions_all!$B3)</f>
        <v>Scuttlebutt</v>
      </c>
      <c r="E3" t="str" cm="1">
        <f t="array" ref="E3">INDEX(actions!B:B,actions_all!$B3)</f>
        <v>Tactic</v>
      </c>
      <c r="F3" t="str" cm="1">
        <f t="array" ref="F3">INDEX(actions!C:C,actions_all!$B3)</f>
        <v>USN</v>
      </c>
      <c r="G3" t="str" cm="1">
        <f t="array" ref="G3">INDEX(actions!D:D,actions_all!$B3)</f>
        <v>Look at and reorder the top 4 cards of your deck. You may put any number on the bottom of your deck.</v>
      </c>
      <c r="H3" t="str" cm="1">
        <f t="array" ref="H3">INDEX(actions!E:E,actions_all!$B3)</f>
        <v>Images/scuttlebutt.jpeg</v>
      </c>
      <c r="I3" t="str" cm="1">
        <f t="array" ref="I3">INDEX(actions!F:F,actions_all!$B3)</f>
        <v xml:space="preserve">
</v>
      </c>
      <c r="J3" t="str" cm="1">
        <f t="array" ref="J3">INDEX(actions!G:G,actions_all!$B3)</f>
        <v>0.0.1</v>
      </c>
    </row>
    <row r="4" spans="1:10" x14ac:dyDescent="0.25">
      <c r="A4">
        <v>1</v>
      </c>
      <c r="B4">
        <v>4</v>
      </c>
      <c r="C4" t="s">
        <v>175</v>
      </c>
      <c r="D4" t="str" cm="1">
        <f t="array" ref="D4">INDEX(actions!A:A,actions_all!$B4)</f>
        <v>AF Is Short On Water</v>
      </c>
      <c r="E4" t="str" cm="1">
        <f t="array" ref="E4">INDEX(actions!B:B,actions_all!$B4)</f>
        <v>Tactic</v>
      </c>
      <c r="F4" t="str" cm="1">
        <f t="array" ref="F4">INDEX(actions!C:C,actions_all!$B4)</f>
        <v>USN</v>
      </c>
      <c r="G4" t="str" cm="1">
        <f t="array" ref="G4">INDEX(actions!D:D,actions_all!$B4)</f>
        <v xml:space="preserve">Immediately (during this action step) take one military asset card from your hand and put it into play under your control face up; it may attack or defend this turn. This military asset must be otherwise valid to play. </v>
      </c>
      <c r="H4" t="str" cm="1">
        <f t="array" ref="H4">INDEX(actions!E:E,actions_all!$B4)</f>
        <v>Images/midway.jpg</v>
      </c>
      <c r="I4" t="str" cm="1">
        <f t="array" ref="I4">INDEX(actions!F:F,actions_all!$B4)</f>
        <v xml:space="preserve">
</v>
      </c>
      <c r="J4" t="str" cm="1">
        <f t="array" ref="J4">INDEX(actions!G:G,actions_all!$B4)</f>
        <v>0.0.1</v>
      </c>
    </row>
    <row r="5" spans="1:10" x14ac:dyDescent="0.25">
      <c r="A5">
        <v>1</v>
      </c>
      <c r="B5">
        <v>4</v>
      </c>
      <c r="C5" t="s">
        <v>177</v>
      </c>
      <c r="D5" t="str" cm="1">
        <f t="array" ref="D5">INDEX(actions!A:A,actions_all!$B5)</f>
        <v>AF Is Short On Water</v>
      </c>
      <c r="E5" t="str" cm="1">
        <f t="array" ref="E5">INDEX(actions!B:B,actions_all!$B5)</f>
        <v>Tactic</v>
      </c>
      <c r="F5" t="str" cm="1">
        <f t="array" ref="F5">INDEX(actions!C:C,actions_all!$B5)</f>
        <v>USN</v>
      </c>
      <c r="G5" t="str" cm="1">
        <f t="array" ref="G5">INDEX(actions!D:D,actions_all!$B5)</f>
        <v xml:space="preserve">Immediately (during this action step) take one military asset card from your hand and put it into play under your control face up; it may attack or defend this turn. This military asset must be otherwise valid to play. </v>
      </c>
      <c r="H5" t="str" cm="1">
        <f t="array" ref="H5">INDEX(actions!E:E,actions_all!$B5)</f>
        <v>Images/midway.jpg</v>
      </c>
      <c r="I5" t="str" cm="1">
        <f t="array" ref="I5">INDEX(actions!F:F,actions_all!$B5)</f>
        <v xml:space="preserve">
</v>
      </c>
      <c r="J5" t="str" cm="1">
        <f t="array" ref="J5">INDEX(actions!G:G,actions_all!$B5)</f>
        <v>0.0.1</v>
      </c>
    </row>
    <row r="6" spans="1:10" x14ac:dyDescent="0.25">
      <c r="A6">
        <v>1</v>
      </c>
      <c r="B6">
        <v>6</v>
      </c>
      <c r="C6" t="s">
        <v>175</v>
      </c>
      <c r="D6" t="str" cm="1">
        <f t="array" ref="D6">INDEX(actions!A:A,actions_all!$B6)</f>
        <v>KH-11 Key Hole</v>
      </c>
      <c r="E6" t="str" cm="1">
        <f t="array" ref="E6">INDEX(actions!B:B,actions_all!$B6)</f>
        <v>Tactic</v>
      </c>
      <c r="F6" t="str" cm="1">
        <f t="array" ref="F6">INDEX(actions!C:C,actions_all!$B6)</f>
        <v>USN</v>
      </c>
      <c r="G6" t="str" cm="1">
        <f t="array" ref="G6">INDEX(actions!D:D,actions_all!$B6)</f>
        <v>Flip all military assets your opponent controls face up. You opponent must also reveal their hand.</v>
      </c>
      <c r="H6" t="str" cm="1">
        <f t="array" ref="H6">INDEX(actions!E:E,actions_all!$B6)</f>
        <v>Images/keyhole.jpg</v>
      </c>
      <c r="I6" t="str" cm="1">
        <f t="array" ref="I6">INDEX(actions!F:F,actions_all!$B6)</f>
        <v xml:space="preserve">
</v>
      </c>
      <c r="J6" t="str" cm="1">
        <f t="array" ref="J6">INDEX(actions!G:G,actions_all!$B6)</f>
        <v>0.0.1</v>
      </c>
    </row>
    <row r="7" spans="1:10" x14ac:dyDescent="0.25">
      <c r="A7">
        <v>1</v>
      </c>
      <c r="B7">
        <v>6</v>
      </c>
      <c r="C7" t="s">
        <v>177</v>
      </c>
      <c r="D7" t="str" cm="1">
        <f t="array" ref="D7">INDEX(actions!A:A,actions_all!$B7)</f>
        <v>KH-11 Key Hole</v>
      </c>
      <c r="E7" t="str" cm="1">
        <f t="array" ref="E7">INDEX(actions!B:B,actions_all!$B7)</f>
        <v>Tactic</v>
      </c>
      <c r="F7" t="str" cm="1">
        <f t="array" ref="F7">INDEX(actions!C:C,actions_all!$B7)</f>
        <v>USN</v>
      </c>
      <c r="G7" t="str" cm="1">
        <f t="array" ref="G7">INDEX(actions!D:D,actions_all!$B7)</f>
        <v>Flip all military assets your opponent controls face up. You opponent must also reveal their hand.</v>
      </c>
      <c r="H7" t="str" cm="1">
        <f t="array" ref="H7">INDEX(actions!E:E,actions_all!$B7)</f>
        <v>Images/keyhole.jpg</v>
      </c>
      <c r="I7" t="str" cm="1">
        <f t="array" ref="I7">INDEX(actions!F:F,actions_all!$B7)</f>
        <v xml:space="preserve">
</v>
      </c>
      <c r="J7" t="str" cm="1">
        <f t="array" ref="J7">INDEX(actions!G:G,actions_all!$B7)</f>
        <v>0.0.1</v>
      </c>
    </row>
    <row r="8" spans="1:10" x14ac:dyDescent="0.25">
      <c r="A8">
        <v>1</v>
      </c>
      <c r="B8">
        <v>9</v>
      </c>
      <c r="C8" t="s">
        <v>175</v>
      </c>
      <c r="D8" t="str" cm="1">
        <f t="array" ref="D8">INDEX(actions!A:A,actions_all!$B8)</f>
        <v>NATO Allies</v>
      </c>
      <c r="E8" t="str" cm="1">
        <f t="array" ref="E8">INDEX(actions!B:B,actions_all!$B8)</f>
        <v>Tactic</v>
      </c>
      <c r="F8" t="str" cm="1">
        <f t="array" ref="F8">INDEX(actions!C:C,actions_all!$B8)</f>
        <v>USN</v>
      </c>
      <c r="G8" t="str" cm="1">
        <f t="array" ref="G8">INDEX(actions!D:D,actions_all!$B8)</f>
        <v>Search your deck for an air squadron, reveal it, and place it on a territory you control. Then shuffle your deck. You must control a territory to play this card.</v>
      </c>
      <c r="H8" t="str" cm="1">
        <f t="array" ref="H8">INDEX(actions!E:E,actions_all!$B8)</f>
        <v>Images/nato.jpg</v>
      </c>
      <c r="I8" t="str" cm="1">
        <f t="array" ref="I8">INDEX(actions!F:F,actions_all!$B8)</f>
        <v xml:space="preserve">
</v>
      </c>
      <c r="J8" t="str" cm="1">
        <f t="array" ref="J8">INDEX(actions!G:G,actions_all!$B8)</f>
        <v>0.0.1</v>
      </c>
    </row>
    <row r="9" spans="1:10" x14ac:dyDescent="0.25">
      <c r="A9">
        <v>1</v>
      </c>
      <c r="B9">
        <v>9</v>
      </c>
      <c r="C9" t="s">
        <v>177</v>
      </c>
      <c r="D9" t="str" cm="1">
        <f t="array" ref="D9">INDEX(actions!A:A,actions_all!$B9)</f>
        <v>NATO Allies</v>
      </c>
      <c r="E9" t="str" cm="1">
        <f t="array" ref="E9">INDEX(actions!B:B,actions_all!$B9)</f>
        <v>Tactic</v>
      </c>
      <c r="F9" t="str" cm="1">
        <f t="array" ref="F9">INDEX(actions!C:C,actions_all!$B9)</f>
        <v>USN</v>
      </c>
      <c r="G9" t="str" cm="1">
        <f t="array" ref="G9">INDEX(actions!D:D,actions_all!$B9)</f>
        <v>Search your deck for an air squadron, reveal it, and place it on a territory you control. Then shuffle your deck. You must control a territory to play this card.</v>
      </c>
      <c r="H9" t="str" cm="1">
        <f t="array" ref="H9">INDEX(actions!E:E,actions_all!$B9)</f>
        <v>Images/nato.jpg</v>
      </c>
      <c r="I9" t="str" cm="1">
        <f t="array" ref="I9">INDEX(actions!F:F,actions_all!$B9)</f>
        <v xml:space="preserve">
</v>
      </c>
      <c r="J9" t="str" cm="1">
        <f t="array" ref="J9">INDEX(actions!G:G,actions_all!$B9)</f>
        <v>0.0.1</v>
      </c>
    </row>
    <row r="10" spans="1:10" x14ac:dyDescent="0.25">
      <c r="A10">
        <v>1</v>
      </c>
      <c r="B10">
        <v>9</v>
      </c>
      <c r="C10" t="s">
        <v>302</v>
      </c>
      <c r="D10" t="str" cm="1">
        <f t="array" ref="D10">INDEX(actions!A:A,actions_all!$B10)</f>
        <v>NATO Allies</v>
      </c>
      <c r="E10" t="str" cm="1">
        <f t="array" ref="E10">INDEX(actions!B:B,actions_all!$B10)</f>
        <v>Tactic</v>
      </c>
      <c r="F10" t="str" cm="1">
        <f t="array" ref="F10">INDEX(actions!C:C,actions_all!$B10)</f>
        <v>USN</v>
      </c>
      <c r="G10" t="str" cm="1">
        <f t="array" ref="G10">INDEX(actions!D:D,actions_all!$B10)</f>
        <v>Search your deck for an air squadron, reveal it, and place it on a territory you control. Then shuffle your deck. You must control a territory to play this card.</v>
      </c>
      <c r="H10" t="str" cm="1">
        <f t="array" ref="H10">INDEX(actions!E:E,actions_all!$B10)</f>
        <v>Images/nato.jpg</v>
      </c>
      <c r="I10" t="str" cm="1">
        <f t="array" ref="I10">INDEX(actions!F:F,actions_all!$B10)</f>
        <v xml:space="preserve">
</v>
      </c>
      <c r="J10" t="str" cm="1">
        <f t="array" ref="J10">INDEX(actions!G:G,actions_all!$B10)</f>
        <v>0.0.1</v>
      </c>
    </row>
    <row r="11" spans="1:10" x14ac:dyDescent="0.25">
      <c r="A11">
        <v>1</v>
      </c>
      <c r="B11">
        <v>9</v>
      </c>
      <c r="C11" t="s">
        <v>303</v>
      </c>
      <c r="D11" t="str" cm="1">
        <f t="array" ref="D11">INDEX(actions!A:A,actions_all!$B11)</f>
        <v>NATO Allies</v>
      </c>
      <c r="E11" t="str" cm="1">
        <f t="array" ref="E11">INDEX(actions!B:B,actions_all!$B11)</f>
        <v>Tactic</v>
      </c>
      <c r="F11" t="str" cm="1">
        <f t="array" ref="F11">INDEX(actions!C:C,actions_all!$B11)</f>
        <v>USN</v>
      </c>
      <c r="G11" t="str" cm="1">
        <f t="array" ref="G11">INDEX(actions!D:D,actions_all!$B11)</f>
        <v>Search your deck for an air squadron, reveal it, and place it on a territory you control. Then shuffle your deck. You must control a territory to play this card.</v>
      </c>
      <c r="H11" t="str" cm="1">
        <f t="array" ref="H11">INDEX(actions!E:E,actions_all!$B11)</f>
        <v>Images/nato.jpg</v>
      </c>
      <c r="I11" t="str" cm="1">
        <f t="array" ref="I11">INDEX(actions!F:F,actions_all!$B11)</f>
        <v xml:space="preserve">
</v>
      </c>
      <c r="J11" t="str" cm="1">
        <f t="array" ref="J11">INDEX(actions!G:G,actions_all!$B11)</f>
        <v>0.0.1</v>
      </c>
    </row>
    <row r="12" spans="1:10" x14ac:dyDescent="0.25">
      <c r="A12">
        <v>1</v>
      </c>
      <c r="B12">
        <v>10</v>
      </c>
      <c r="C12" t="s">
        <v>175</v>
      </c>
      <c r="D12" t="str" cm="1">
        <f t="array" ref="D12">INDEX(actions!A:A,actions_all!$B12)</f>
        <v>Uncommon Valor Was A Common Virtue</v>
      </c>
      <c r="E12" t="str" cm="1">
        <f t="array" ref="E12">INDEX(actions!B:B,actions_all!$B12)</f>
        <v>Tactic</v>
      </c>
      <c r="F12" t="str" cm="1">
        <f t="array" ref="F12">INDEX(actions!C:C,actions_all!$B12)</f>
        <v>USN</v>
      </c>
      <c r="G12" t="str" cm="1">
        <f t="array" ref="G12">INDEX(actions!D:D,actions_all!$B12)</f>
        <v>You may immediately discard one military asset from an attack you've declared in order to add twice that asset's attack statistic to your damage total during the Normal Damage Step.</v>
      </c>
      <c r="H12" t="str" cm="1">
        <f t="array" ref="H12">INDEX(actions!E:E,actions_all!$B12)</f>
        <v>Images/valor.jpg</v>
      </c>
      <c r="I12" t="str" cm="1">
        <f t="array" ref="I12">INDEX(actions!F:F,actions_all!$B12)</f>
        <v xml:space="preserve">
</v>
      </c>
      <c r="J12" t="str" cm="1">
        <f t="array" ref="J12">INDEX(actions!G:G,actions_all!$B12)</f>
        <v>0.0.1</v>
      </c>
    </row>
    <row r="13" spans="1:10" x14ac:dyDescent="0.25">
      <c r="A13">
        <v>1</v>
      </c>
      <c r="B13">
        <v>10</v>
      </c>
      <c r="C13" t="s">
        <v>177</v>
      </c>
      <c r="D13" t="str" cm="1">
        <f t="array" ref="D13">INDEX(actions!A:A,actions_all!$B13)</f>
        <v>Uncommon Valor Was A Common Virtue</v>
      </c>
      <c r="E13" t="str" cm="1">
        <f t="array" ref="E13">INDEX(actions!B:B,actions_all!$B13)</f>
        <v>Tactic</v>
      </c>
      <c r="F13" t="str" cm="1">
        <f t="array" ref="F13">INDEX(actions!C:C,actions_all!$B13)</f>
        <v>USN</v>
      </c>
      <c r="G13" t="str" cm="1">
        <f t="array" ref="G13">INDEX(actions!D:D,actions_all!$B13)</f>
        <v>You may immediately discard one military asset from an attack you've declared in order to add twice that asset's attack statistic to your damage total during the Normal Damage Step.</v>
      </c>
      <c r="H13" t="str" cm="1">
        <f t="array" ref="H13">INDEX(actions!E:E,actions_all!$B13)</f>
        <v>Images/valor.jpg</v>
      </c>
      <c r="I13" t="str" cm="1">
        <f t="array" ref="I13">INDEX(actions!F:F,actions_all!$B13)</f>
        <v xml:space="preserve">
</v>
      </c>
      <c r="J13" t="str" cm="1">
        <f t="array" ref="J13">INDEX(actions!G:G,actions_all!$B13)</f>
        <v>0.0.1</v>
      </c>
    </row>
    <row r="14" spans="1:10" x14ac:dyDescent="0.25">
      <c r="A14">
        <v>1</v>
      </c>
      <c r="B14">
        <v>11</v>
      </c>
      <c r="C14" t="s">
        <v>175</v>
      </c>
      <c r="D14" t="str" cm="1">
        <f t="array" ref="D14">INDEX(actions!A:A,actions_all!$B14)</f>
        <v>I Have Not Yet Begun To Fight</v>
      </c>
      <c r="E14" t="str" cm="1">
        <f t="array" ref="E14">INDEX(actions!B:B,actions_all!$B14)</f>
        <v>Tactic</v>
      </c>
      <c r="F14" t="str" cm="1">
        <f t="array" ref="F14">INDEX(actions!C:C,actions_all!$B14)</f>
        <v>USN</v>
      </c>
      <c r="G14" t="str" cm="1">
        <f t="array" ref="G14">INDEX(actions!D:D,actions_all!$B14)</f>
        <v>Retrieve one card from your discard pile, reveal it, and put it on top of your deck.</v>
      </c>
      <c r="H14" t="str" cm="1">
        <f t="array" ref="H14">INDEX(actions!E:E,actions_all!$B14)</f>
        <v>Images/fight.jpg</v>
      </c>
      <c r="I14" t="str" cm="1">
        <f t="array" ref="I14">INDEX(actions!F:F,actions_all!$B14)</f>
        <v xml:space="preserve">
</v>
      </c>
      <c r="J14" t="str" cm="1">
        <f t="array" ref="J14">INDEX(actions!G:G,actions_all!$B14)</f>
        <v>0.0.1</v>
      </c>
    </row>
    <row r="15" spans="1:10" x14ac:dyDescent="0.25">
      <c r="A15">
        <v>1</v>
      </c>
      <c r="B15">
        <v>11</v>
      </c>
      <c r="C15" t="s">
        <v>177</v>
      </c>
      <c r="D15" t="str" cm="1">
        <f t="array" ref="D15">INDEX(actions!A:A,actions_all!$B15)</f>
        <v>I Have Not Yet Begun To Fight</v>
      </c>
      <c r="E15" t="str" cm="1">
        <f t="array" ref="E15">INDEX(actions!B:B,actions_all!$B15)</f>
        <v>Tactic</v>
      </c>
      <c r="F15" t="str" cm="1">
        <f t="array" ref="F15">INDEX(actions!C:C,actions_all!$B15)</f>
        <v>USN</v>
      </c>
      <c r="G15" t="str" cm="1">
        <f t="array" ref="G15">INDEX(actions!D:D,actions_all!$B15)</f>
        <v>Retrieve one card from your discard pile, reveal it, and put it on top of your deck.</v>
      </c>
      <c r="H15" t="str" cm="1">
        <f t="array" ref="H15">INDEX(actions!E:E,actions_all!$B15)</f>
        <v>Images/fight.jpg</v>
      </c>
      <c r="I15" t="str" cm="1">
        <f t="array" ref="I15">INDEX(actions!F:F,actions_all!$B15)</f>
        <v xml:space="preserve">
</v>
      </c>
      <c r="J15" t="str" cm="1">
        <f t="array" ref="J15">INDEX(actions!G:G,actions_all!$B15)</f>
        <v>0.0.1</v>
      </c>
    </row>
    <row r="16" spans="1:10" x14ac:dyDescent="0.25">
      <c r="A16">
        <v>1</v>
      </c>
      <c r="B16">
        <v>11</v>
      </c>
      <c r="C16" t="s">
        <v>302</v>
      </c>
      <c r="D16" t="str" cm="1">
        <f t="array" ref="D16">INDEX(actions!A:A,actions_all!$B16)</f>
        <v>I Have Not Yet Begun To Fight</v>
      </c>
      <c r="E16" t="str" cm="1">
        <f t="array" ref="E16">INDEX(actions!B:B,actions_all!$B16)</f>
        <v>Tactic</v>
      </c>
      <c r="F16" t="str" cm="1">
        <f t="array" ref="F16">INDEX(actions!C:C,actions_all!$B16)</f>
        <v>USN</v>
      </c>
      <c r="G16" t="str" cm="1">
        <f t="array" ref="G16">INDEX(actions!D:D,actions_all!$B16)</f>
        <v>Retrieve one card from your discard pile, reveal it, and put it on top of your deck.</v>
      </c>
      <c r="H16" t="str" cm="1">
        <f t="array" ref="H16">INDEX(actions!E:E,actions_all!$B16)</f>
        <v>Images/fight.jpg</v>
      </c>
      <c r="I16" t="str" cm="1">
        <f t="array" ref="I16">INDEX(actions!F:F,actions_all!$B16)</f>
        <v xml:space="preserve">
</v>
      </c>
      <c r="J16" t="str" cm="1">
        <f t="array" ref="J16">INDEX(actions!G:G,actions_all!$B16)</f>
        <v>0.0.1</v>
      </c>
    </row>
    <row r="17" spans="1:10" x14ac:dyDescent="0.25">
      <c r="A17">
        <v>1</v>
      </c>
      <c r="B17">
        <v>25</v>
      </c>
      <c r="C17" t="s">
        <v>175</v>
      </c>
      <c r="D17" t="str" cm="1">
        <f t="array" ref="D17">INDEX(actions!A:A,actions_all!$B17)</f>
        <v>That's the Spirit!</v>
      </c>
      <c r="E17" t="str" cm="1">
        <f t="array" ref="E17">INDEX(actions!B:B,actions_all!$B17)</f>
        <v>Tactic</v>
      </c>
      <c r="F17" t="str" cm="1">
        <f t="array" ref="F17">INDEX(actions!C:C,actions_all!$B17)</f>
        <v>USN</v>
      </c>
      <c r="G17" t="str" cm="1">
        <f t="array" ref="G17">INDEX(actions!D:D,actions_all!$B17)</f>
        <v>Immediately destroy one face-up military asset whose total defense including Help Defense and stationed aircraft is 6 or less.</v>
      </c>
      <c r="H17" t="str" cm="1">
        <f t="array" ref="H17">INDEX(actions!E:E,actions_all!$B17)</f>
        <v>Images/b2.jpg</v>
      </c>
      <c r="I17" t="str" cm="1">
        <f t="array" ref="I17">INDEX(actions!F:F,actions_all!$B17)</f>
        <v xml:space="preserve">
</v>
      </c>
      <c r="J17" t="str" cm="1">
        <f t="array" ref="J17">INDEX(actions!G:G,actions_all!$B17)</f>
        <v>0.0.1</v>
      </c>
    </row>
    <row r="18" spans="1:10" x14ac:dyDescent="0.25">
      <c r="A18">
        <v>1</v>
      </c>
      <c r="B18">
        <v>25</v>
      </c>
      <c r="C18" t="s">
        <v>177</v>
      </c>
      <c r="D18" t="str" cm="1">
        <f t="array" ref="D18">INDEX(actions!A:A,actions_all!$B18)</f>
        <v>That's the Spirit!</v>
      </c>
      <c r="E18" t="str" cm="1">
        <f t="array" ref="E18">INDEX(actions!B:B,actions_all!$B18)</f>
        <v>Tactic</v>
      </c>
      <c r="F18" t="str" cm="1">
        <f t="array" ref="F18">INDEX(actions!C:C,actions_all!$B18)</f>
        <v>USN</v>
      </c>
      <c r="G18" t="str" cm="1">
        <f t="array" ref="G18">INDEX(actions!D:D,actions_all!$B18)</f>
        <v>Immediately destroy one face-up military asset whose total defense including Help Defense and stationed aircraft is 6 or less.</v>
      </c>
      <c r="H18" t="str" cm="1">
        <f t="array" ref="H18">INDEX(actions!E:E,actions_all!$B18)</f>
        <v>Images/b2.jpg</v>
      </c>
      <c r="I18" t="str" cm="1">
        <f t="array" ref="I18">INDEX(actions!F:F,actions_all!$B18)</f>
        <v xml:space="preserve">
</v>
      </c>
      <c r="J18" t="str" cm="1">
        <f t="array" ref="J18">INDEX(actions!G:G,actions_all!$B18)</f>
        <v>0.0.1</v>
      </c>
    </row>
    <row r="19" spans="1:10" x14ac:dyDescent="0.25">
      <c r="A19">
        <v>1</v>
      </c>
      <c r="B19">
        <v>7</v>
      </c>
      <c r="C19" t="s">
        <v>176</v>
      </c>
      <c r="D19" t="str" cm="1">
        <f t="array" ref="D19">INDEX(actions!A:A,actions_all!$B19)</f>
        <v>Semper Fidelis</v>
      </c>
      <c r="E19" t="str" cm="1">
        <f t="array" ref="E19">INDEX(actions!B:B,actions_all!$B19)</f>
        <v>Strategy</v>
      </c>
      <c r="F19" t="str" cm="1">
        <f t="array" ref="F19">INDEX(actions!C:C,actions_all!$B19)</f>
        <v>USN</v>
      </c>
      <c r="G19" t="str" cm="1">
        <f t="array" ref="G19">INDEX(actions!D:D,actions_all!$B19)</f>
        <v>Whenever an opponent buys-back a territory card you control, they must discard an additional card from their deck.</v>
      </c>
      <c r="H19" t="str" cm="1">
        <f t="array" ref="H19">INDEX(actions!E:E,actions_all!$B19)</f>
        <v>Images/semperfi.jpg</v>
      </c>
      <c r="I19" t="str" cm="1">
        <f t="array" ref="I19">INDEX(actions!F:F,actions_all!$B19)</f>
        <v xml:space="preserve">
</v>
      </c>
      <c r="J19" t="str" cm="1">
        <f t="array" ref="J19">INDEX(actions!G:G,actions_all!$B19)</f>
        <v>0.0.1</v>
      </c>
    </row>
    <row r="20" spans="1:10" x14ac:dyDescent="0.25">
      <c r="A20">
        <v>1</v>
      </c>
      <c r="B20">
        <v>7</v>
      </c>
      <c r="C20" t="s">
        <v>304</v>
      </c>
      <c r="D20" t="str" cm="1">
        <f t="array" ref="D20">INDEX(actions!A:A,actions_all!$B20)</f>
        <v>Semper Fidelis</v>
      </c>
      <c r="E20" t="str" cm="1">
        <f t="array" ref="E20">INDEX(actions!B:B,actions_all!$B20)</f>
        <v>Strategy</v>
      </c>
      <c r="F20" t="str" cm="1">
        <f t="array" ref="F20">INDEX(actions!C:C,actions_all!$B20)</f>
        <v>USN</v>
      </c>
      <c r="G20" t="str" cm="1">
        <f t="array" ref="G20">INDEX(actions!D:D,actions_all!$B20)</f>
        <v>Whenever an opponent buys-back a territory card you control, they must discard an additional card from their deck.</v>
      </c>
      <c r="H20" t="str" cm="1">
        <f t="array" ref="H20">INDEX(actions!E:E,actions_all!$B20)</f>
        <v>Images/semperfi.jpg</v>
      </c>
      <c r="I20" t="str" cm="1">
        <f t="array" ref="I20">INDEX(actions!F:F,actions_all!$B20)</f>
        <v xml:space="preserve">
</v>
      </c>
      <c r="J20" t="str" cm="1">
        <f t="array" ref="J20">INDEX(actions!G:G,actions_all!$B20)</f>
        <v>0.0.1</v>
      </c>
    </row>
    <row r="21" spans="1:10" x14ac:dyDescent="0.25">
      <c r="A21">
        <v>1</v>
      </c>
      <c r="B21">
        <v>8</v>
      </c>
      <c r="C21" t="s">
        <v>176</v>
      </c>
      <c r="D21" t="str" cm="1">
        <f t="array" ref="D21">INDEX(actions!A:A,actions_all!$B21)</f>
        <v>Build 'Em Faster Than They Can Sink 'Em</v>
      </c>
      <c r="E21" t="str" cm="1">
        <f t="array" ref="E21">INDEX(actions!B:B,actions_all!$B21)</f>
        <v>Strategy</v>
      </c>
      <c r="F21" t="str" cm="1">
        <f t="array" ref="F21">INDEX(actions!C:C,actions_all!$B21)</f>
        <v>USN</v>
      </c>
      <c r="G21" t="str" cm="1">
        <f t="array" ref="G21">INDEX(actions!D:D,actions_all!$B21)</f>
        <v>Whenever you lose a military asset of logistics 3 or greater, you may draw a card.</v>
      </c>
      <c r="H21" t="str" cm="1">
        <f t="array" ref="H21">INDEX(actions!E:E,actions_all!$B21)</f>
        <v>Images/buildem.jpg</v>
      </c>
      <c r="I21" t="str" cm="1">
        <f t="array" ref="I21">INDEX(actions!F:F,actions_all!$B21)</f>
        <v xml:space="preserve">
</v>
      </c>
      <c r="J21" t="str" cm="1">
        <f t="array" ref="J21">INDEX(actions!G:G,actions_all!$B21)</f>
        <v>0.0.1</v>
      </c>
    </row>
    <row r="22" spans="1:10" x14ac:dyDescent="0.25">
      <c r="A22">
        <v>1</v>
      </c>
      <c r="B22">
        <v>8</v>
      </c>
      <c r="C22" t="s">
        <v>304</v>
      </c>
      <c r="D22" t="str" cm="1">
        <f t="array" ref="D22">INDEX(actions!A:A,actions_all!$B22)</f>
        <v>Build 'Em Faster Than They Can Sink 'Em</v>
      </c>
      <c r="E22" t="str" cm="1">
        <f t="array" ref="E22">INDEX(actions!B:B,actions_all!$B22)</f>
        <v>Strategy</v>
      </c>
      <c r="F22" t="str" cm="1">
        <f t="array" ref="F22">INDEX(actions!C:C,actions_all!$B22)</f>
        <v>USN</v>
      </c>
      <c r="G22" t="str" cm="1">
        <f t="array" ref="G22">INDEX(actions!D:D,actions_all!$B22)</f>
        <v>Whenever you lose a military asset of logistics 3 or greater, you may draw a card.</v>
      </c>
      <c r="H22" t="str" cm="1">
        <f t="array" ref="H22">INDEX(actions!E:E,actions_all!$B22)</f>
        <v>Images/buildem.jpg</v>
      </c>
      <c r="I22" t="str" cm="1">
        <f t="array" ref="I22">INDEX(actions!F:F,actions_all!$B22)</f>
        <v xml:space="preserve">
</v>
      </c>
      <c r="J22" t="str" cm="1">
        <f t="array" ref="J22">INDEX(actions!G:G,actions_all!$B22)</f>
        <v>0.0.1</v>
      </c>
    </row>
    <row r="23" spans="1:10" x14ac:dyDescent="0.25">
      <c r="A23">
        <v>1</v>
      </c>
      <c r="B23">
        <v>26</v>
      </c>
      <c r="C23" t="s">
        <v>176</v>
      </c>
      <c r="D23" t="str" cm="1">
        <f t="array" ref="D23">INDEX(actions!A:A,actions_all!$B23)</f>
        <v>Aerial Refueling</v>
      </c>
      <c r="E23" t="str" cm="1">
        <f t="array" ref="E23">INDEX(actions!B:B,actions_all!$B23)</f>
        <v>Strategy</v>
      </c>
      <c r="F23" t="str" cm="1">
        <f t="array" ref="F23">INDEX(actions!C:C,actions_all!$B23)</f>
        <v>USN</v>
      </c>
      <c r="G23" t="str" cm="1">
        <f t="array" ref="G23">INDEX(actions!D:D,actions_all!$B23)</f>
        <v>Carriers you control do not need to take part in the damage order of an attack in order for their aircraft to take part in an attack. Carriers are still considered to be attacking, and can still only attack one target per turn.</v>
      </c>
      <c r="H23" t="str" cm="1">
        <f t="array" ref="H23">INDEX(actions!E:E,actions_all!$B23)</f>
        <v>Images/refuel.jpg</v>
      </c>
      <c r="I23" t="str" cm="1">
        <f t="array" ref="I23">INDEX(actions!F:F,actions_all!$B23)</f>
        <v xml:space="preserve">
</v>
      </c>
      <c r="J23" t="str" cm="1">
        <f t="array" ref="J23">INDEX(actions!G:G,actions_all!$B23)</f>
        <v>0.0.1</v>
      </c>
    </row>
    <row r="24" spans="1:10" x14ac:dyDescent="0.25">
      <c r="A24">
        <v>1</v>
      </c>
      <c r="B24">
        <v>26</v>
      </c>
      <c r="C24" t="s">
        <v>304</v>
      </c>
      <c r="D24" t="str" cm="1">
        <f t="array" ref="D24">INDEX(actions!A:A,actions_all!$B24)</f>
        <v>Aerial Refueling</v>
      </c>
      <c r="E24" t="str" cm="1">
        <f t="array" ref="E24">INDEX(actions!B:B,actions_all!$B24)</f>
        <v>Strategy</v>
      </c>
      <c r="F24" t="str" cm="1">
        <f t="array" ref="F24">INDEX(actions!C:C,actions_all!$B24)</f>
        <v>USN</v>
      </c>
      <c r="G24" t="str" cm="1">
        <f t="array" ref="G24">INDEX(actions!D:D,actions_all!$B24)</f>
        <v>Carriers you control do not need to take part in the damage order of an attack in order for their aircraft to take part in an attack. Carriers are still considered to be attacking, and can still only attack one target per turn.</v>
      </c>
      <c r="H24" t="str" cm="1">
        <f t="array" ref="H24">INDEX(actions!E:E,actions_all!$B24)</f>
        <v>Images/refuel.jpg</v>
      </c>
      <c r="I24" t="str" cm="1">
        <f t="array" ref="I24">INDEX(actions!F:F,actions_all!$B24)</f>
        <v xml:space="preserve">
</v>
      </c>
      <c r="J24" t="str" cm="1">
        <f t="array" ref="J24">INDEX(actions!G:G,actions_all!$B24)</f>
        <v>0.0.1</v>
      </c>
    </row>
    <row r="25" spans="1:10" x14ac:dyDescent="0.25">
      <c r="A25">
        <v>1</v>
      </c>
      <c r="B25">
        <v>15</v>
      </c>
      <c r="C25" t="s">
        <v>175</v>
      </c>
      <c r="D25" t="str" cm="1">
        <f t="array" ref="D25">INDEX(actions!A:A,actions_all!$B25)</f>
        <v>Disinformation Campaigns</v>
      </c>
      <c r="E25" t="str" cm="1">
        <f t="array" ref="E25">INDEX(actions!B:B,actions_all!$B25)</f>
        <v>Tactic</v>
      </c>
      <c r="F25" t="str" cm="1">
        <f t="array" ref="F25">INDEX(actions!C:C,actions_all!$B25)</f>
        <v>RUS</v>
      </c>
      <c r="G25" t="str" cm="1">
        <f t="array" ref="G25">INDEX(actions!D:D,actions_all!$B25)</f>
        <v>Your opponent must discard 5 cards from their deck.</v>
      </c>
      <c r="H25" t="str" cm="1">
        <f t="array" ref="H25">INDEX(actions!E:E,actions_all!$B25)</f>
        <v>Images/disinformation.jpg</v>
      </c>
      <c r="I25" t="str" cm="1">
        <f t="array" ref="I25">INDEX(actions!F:F,actions_all!$B25)</f>
        <v xml:space="preserve">
</v>
      </c>
      <c r="J25" t="str" cm="1">
        <f t="array" ref="J25">INDEX(actions!G:G,actions_all!$B25)</f>
        <v>0.0.1</v>
      </c>
    </row>
    <row r="26" spans="1:10" x14ac:dyDescent="0.25">
      <c r="A26">
        <v>1</v>
      </c>
      <c r="B26">
        <v>15</v>
      </c>
      <c r="C26" t="s">
        <v>177</v>
      </c>
      <c r="D26" t="str" cm="1">
        <f t="array" ref="D26">INDEX(actions!A:A,actions_all!$B26)</f>
        <v>Disinformation Campaigns</v>
      </c>
      <c r="E26" t="str" cm="1">
        <f t="array" ref="E26">INDEX(actions!B:B,actions_all!$B26)</f>
        <v>Tactic</v>
      </c>
      <c r="F26" t="str" cm="1">
        <f t="array" ref="F26">INDEX(actions!C:C,actions_all!$B26)</f>
        <v>RUS</v>
      </c>
      <c r="G26" t="str" cm="1">
        <f t="array" ref="G26">INDEX(actions!D:D,actions_all!$B26)</f>
        <v>Your opponent must discard 5 cards from their deck.</v>
      </c>
      <c r="H26" t="str" cm="1">
        <f t="array" ref="H26">INDEX(actions!E:E,actions_all!$B26)</f>
        <v>Images/disinformation.jpg</v>
      </c>
      <c r="I26" t="str" cm="1">
        <f t="array" ref="I26">INDEX(actions!F:F,actions_all!$B26)</f>
        <v xml:space="preserve">
</v>
      </c>
      <c r="J26" t="str" cm="1">
        <f t="array" ref="J26">INDEX(actions!G:G,actions_all!$B26)</f>
        <v>0.0.1</v>
      </c>
    </row>
    <row r="27" spans="1:10" x14ac:dyDescent="0.25">
      <c r="A27">
        <v>1</v>
      </c>
      <c r="B27">
        <v>15</v>
      </c>
      <c r="C27" t="s">
        <v>302</v>
      </c>
      <c r="D27" t="str" cm="1">
        <f t="array" ref="D27">INDEX(actions!A:A,actions_all!$B27)</f>
        <v>Disinformation Campaigns</v>
      </c>
      <c r="E27" t="str" cm="1">
        <f t="array" ref="E27">INDEX(actions!B:B,actions_all!$B27)</f>
        <v>Tactic</v>
      </c>
      <c r="F27" t="str" cm="1">
        <f t="array" ref="F27">INDEX(actions!C:C,actions_all!$B27)</f>
        <v>RUS</v>
      </c>
      <c r="G27" t="str" cm="1">
        <f t="array" ref="G27">INDEX(actions!D:D,actions_all!$B27)</f>
        <v>Your opponent must discard 5 cards from their deck.</v>
      </c>
      <c r="H27" t="str" cm="1">
        <f t="array" ref="H27">INDEX(actions!E:E,actions_all!$B27)</f>
        <v>Images/disinformation.jpg</v>
      </c>
      <c r="I27" t="str" cm="1">
        <f t="array" ref="I27">INDEX(actions!F:F,actions_all!$B27)</f>
        <v xml:space="preserve">
</v>
      </c>
      <c r="J27" t="str" cm="1">
        <f t="array" ref="J27">INDEX(actions!G:G,actions_all!$B27)</f>
        <v>0.0.1</v>
      </c>
    </row>
    <row r="28" spans="1:10" x14ac:dyDescent="0.25">
      <c r="A28">
        <v>1</v>
      </c>
      <c r="B28">
        <v>15</v>
      </c>
      <c r="C28" t="s">
        <v>303</v>
      </c>
      <c r="D28" t="str" cm="1">
        <f t="array" ref="D28">INDEX(actions!A:A,actions_all!$B28)</f>
        <v>Disinformation Campaigns</v>
      </c>
      <c r="E28" t="str" cm="1">
        <f t="array" ref="E28">INDEX(actions!B:B,actions_all!$B28)</f>
        <v>Tactic</v>
      </c>
      <c r="F28" t="str" cm="1">
        <f t="array" ref="F28">INDEX(actions!C:C,actions_all!$B28)</f>
        <v>RUS</v>
      </c>
      <c r="G28" t="str" cm="1">
        <f t="array" ref="G28">INDEX(actions!D:D,actions_all!$B28)</f>
        <v>Your opponent must discard 5 cards from their deck.</v>
      </c>
      <c r="H28" t="str" cm="1">
        <f t="array" ref="H28">INDEX(actions!E:E,actions_all!$B28)</f>
        <v>Images/disinformation.jpg</v>
      </c>
      <c r="I28" t="str" cm="1">
        <f t="array" ref="I28">INDEX(actions!F:F,actions_all!$B28)</f>
        <v xml:space="preserve">
</v>
      </c>
      <c r="J28" t="str" cm="1">
        <f t="array" ref="J28">INDEX(actions!G:G,actions_all!$B28)</f>
        <v>0.0.1</v>
      </c>
    </row>
    <row r="29" spans="1:10" x14ac:dyDescent="0.25">
      <c r="A29">
        <v>1</v>
      </c>
      <c r="B29">
        <v>22</v>
      </c>
      <c r="C29" t="s">
        <v>175</v>
      </c>
      <c r="D29" t="str" cm="1">
        <f t="array" ref="D29">INDEX(actions!A:A,actions_all!$B29)</f>
        <v>Strategic Flexibility</v>
      </c>
      <c r="E29" t="str" cm="1">
        <f t="array" ref="E29">INDEX(actions!B:B,actions_all!$B29)</f>
        <v>Tactic</v>
      </c>
      <c r="F29" t="str" cm="1">
        <f t="array" ref="F29">INDEX(actions!C:C,actions_all!$B29)</f>
        <v>RUS</v>
      </c>
      <c r="G29" t="str" cm="1">
        <f t="array" ref="G29">INDEX(actions!D:D,actions_all!$B29)</f>
        <v>Search your deck for a strategy card, reveal that card and put it into your hand. Then shuffle your deck.</v>
      </c>
      <c r="H29" t="str" cm="1">
        <f t="array" ref="H29">INDEX(actions!E:E,actions_all!$B29)</f>
        <v>Images/dolls.jpeg</v>
      </c>
      <c r="I29" t="str" cm="1">
        <f t="array" ref="I29">INDEX(actions!F:F,actions_all!$B29)</f>
        <v xml:space="preserve">
</v>
      </c>
      <c r="J29" t="str" cm="1">
        <f t="array" ref="J29">INDEX(actions!G:G,actions_all!$B29)</f>
        <v>0.0.1</v>
      </c>
    </row>
    <row r="30" spans="1:10" x14ac:dyDescent="0.25">
      <c r="A30">
        <v>1</v>
      </c>
      <c r="B30">
        <v>22</v>
      </c>
      <c r="C30" t="s">
        <v>177</v>
      </c>
      <c r="D30" t="str" cm="1">
        <f t="array" ref="D30">INDEX(actions!A:A,actions_all!$B30)</f>
        <v>Strategic Flexibility</v>
      </c>
      <c r="E30" t="str" cm="1">
        <f t="array" ref="E30">INDEX(actions!B:B,actions_all!$B30)</f>
        <v>Tactic</v>
      </c>
      <c r="F30" t="str" cm="1">
        <f t="array" ref="F30">INDEX(actions!C:C,actions_all!$B30)</f>
        <v>RUS</v>
      </c>
      <c r="G30" t="str" cm="1">
        <f t="array" ref="G30">INDEX(actions!D:D,actions_all!$B30)</f>
        <v>Search your deck for a strategy card, reveal that card and put it into your hand. Then shuffle your deck.</v>
      </c>
      <c r="H30" t="str" cm="1">
        <f t="array" ref="H30">INDEX(actions!E:E,actions_all!$B30)</f>
        <v>Images/dolls.jpeg</v>
      </c>
      <c r="I30" t="str" cm="1">
        <f t="array" ref="I30">INDEX(actions!F:F,actions_all!$B30)</f>
        <v xml:space="preserve">
</v>
      </c>
      <c r="J30" t="str" cm="1">
        <f t="array" ref="J30">INDEX(actions!G:G,actions_all!$B30)</f>
        <v>0.0.1</v>
      </c>
    </row>
    <row r="31" spans="1:10" x14ac:dyDescent="0.25">
      <c r="A31">
        <v>1</v>
      </c>
      <c r="B31">
        <v>21</v>
      </c>
      <c r="C31" t="s">
        <v>175</v>
      </c>
      <c r="D31" t="str" cm="1">
        <f t="array" ref="D31">INDEX(actions!A:A,actions_all!$B31)</f>
        <v>Counter-Espionage</v>
      </c>
      <c r="E31" t="str" cm="1">
        <f t="array" ref="E31">INDEX(actions!B:B,actions_all!$B31)</f>
        <v>Tactic</v>
      </c>
      <c r="F31" t="str" cm="1">
        <f t="array" ref="F31">INDEX(actions!C:C,actions_all!$B31)</f>
        <v>RUS</v>
      </c>
      <c r="G31" t="str" cm="1">
        <f t="array" ref="G31">INDEX(actions!D:D,actions_all!$B31)</f>
        <v>Ignore the effects of a tactic card.</v>
      </c>
      <c r="H31" t="str" cm="1">
        <f t="array" ref="H31">INDEX(actions!E:E,actions_all!$B31)</f>
        <v>Images/putingun.jpg</v>
      </c>
      <c r="I31" t="str" cm="1">
        <f t="array" ref="I31">INDEX(actions!F:F,actions_all!$B31)</f>
        <v xml:space="preserve">
</v>
      </c>
      <c r="J31" t="str" cm="1">
        <f t="array" ref="J31">INDEX(actions!G:G,actions_all!$B31)</f>
        <v>0.0.1</v>
      </c>
    </row>
    <row r="32" spans="1:10" x14ac:dyDescent="0.25">
      <c r="A32">
        <v>1</v>
      </c>
      <c r="B32">
        <v>21</v>
      </c>
      <c r="C32" t="s">
        <v>177</v>
      </c>
      <c r="D32" t="str" cm="1">
        <f t="array" ref="D32">INDEX(actions!A:A,actions_all!$B32)</f>
        <v>Counter-Espionage</v>
      </c>
      <c r="E32" t="str" cm="1">
        <f t="array" ref="E32">INDEX(actions!B:B,actions_all!$B32)</f>
        <v>Tactic</v>
      </c>
      <c r="F32" t="str" cm="1">
        <f t="array" ref="F32">INDEX(actions!C:C,actions_all!$B32)</f>
        <v>RUS</v>
      </c>
      <c r="G32" t="str" cm="1">
        <f t="array" ref="G32">INDEX(actions!D:D,actions_all!$B32)</f>
        <v>Ignore the effects of a tactic card.</v>
      </c>
      <c r="H32" t="str" cm="1">
        <f t="array" ref="H32">INDEX(actions!E:E,actions_all!$B32)</f>
        <v>Images/putingun.jpg</v>
      </c>
      <c r="I32" t="str" cm="1">
        <f t="array" ref="I32">INDEX(actions!F:F,actions_all!$B32)</f>
        <v xml:space="preserve">
</v>
      </c>
      <c r="J32" t="str" cm="1">
        <f t="array" ref="J32">INDEX(actions!G:G,actions_all!$B32)</f>
        <v>0.0.1</v>
      </c>
    </row>
    <row r="33" spans="1:10" x14ac:dyDescent="0.25">
      <c r="A33">
        <v>1</v>
      </c>
      <c r="B33">
        <v>21</v>
      </c>
      <c r="C33" t="s">
        <v>302</v>
      </c>
      <c r="D33" t="str" cm="1">
        <f t="array" ref="D33">INDEX(actions!A:A,actions_all!$B33)</f>
        <v>Counter-Espionage</v>
      </c>
      <c r="E33" t="str" cm="1">
        <f t="array" ref="E33">INDEX(actions!B:B,actions_all!$B33)</f>
        <v>Tactic</v>
      </c>
      <c r="F33" t="str" cm="1">
        <f t="array" ref="F33">INDEX(actions!C:C,actions_all!$B33)</f>
        <v>RUS</v>
      </c>
      <c r="G33" t="str" cm="1">
        <f t="array" ref="G33">INDEX(actions!D:D,actions_all!$B33)</f>
        <v>Ignore the effects of a tactic card.</v>
      </c>
      <c r="H33" t="str" cm="1">
        <f t="array" ref="H33">INDEX(actions!E:E,actions_all!$B33)</f>
        <v>Images/putingun.jpg</v>
      </c>
      <c r="I33" t="str" cm="1">
        <f t="array" ref="I33">INDEX(actions!F:F,actions_all!$B33)</f>
        <v xml:space="preserve">
</v>
      </c>
      <c r="J33" t="str" cm="1">
        <f t="array" ref="J33">INDEX(actions!G:G,actions_all!$B33)</f>
        <v>0.0.1</v>
      </c>
    </row>
    <row r="34" spans="1:10" x14ac:dyDescent="0.25">
      <c r="A34">
        <v>1</v>
      </c>
      <c r="B34">
        <v>18</v>
      </c>
      <c r="C34" t="s">
        <v>175</v>
      </c>
      <c r="D34" t="str" cm="1">
        <f t="array" ref="D34">INDEX(actions!A:A,actions_all!$B34)</f>
        <v>Scorched Earth</v>
      </c>
      <c r="E34" t="str" cm="1">
        <f t="array" ref="E34">INDEX(actions!B:B,actions_all!$B34)</f>
        <v>Tactic</v>
      </c>
      <c r="F34" t="str" cm="1">
        <f t="array" ref="F34">INDEX(actions!C:C,actions_all!$B34)</f>
        <v>RUS</v>
      </c>
      <c r="G34" t="str" cm="1">
        <f t="array" ref="G34">INDEX(actions!D:D,actions_all!$B34)</f>
        <v>Destroy one territory belonging to your opponent that is under your control.</v>
      </c>
      <c r="H34" t="str" cm="1">
        <f t="array" ref="H34">INDEX(actions!E:E,actions_all!$B34)</f>
        <v>Images/scorched.jpg</v>
      </c>
      <c r="I34" t="str" cm="1">
        <f t="array" ref="I34">INDEX(actions!F:F,actions_all!$B34)</f>
        <v xml:space="preserve">
</v>
      </c>
      <c r="J34" t="str" cm="1">
        <f t="array" ref="J34">INDEX(actions!G:G,actions_all!$B34)</f>
        <v>0.0.1</v>
      </c>
    </row>
    <row r="35" spans="1:10" x14ac:dyDescent="0.25">
      <c r="A35">
        <v>1</v>
      </c>
      <c r="B35">
        <v>18</v>
      </c>
      <c r="C35" t="s">
        <v>177</v>
      </c>
      <c r="D35" t="str" cm="1">
        <f t="array" ref="D35">INDEX(actions!A:A,actions_all!$B35)</f>
        <v>Scorched Earth</v>
      </c>
      <c r="E35" t="str" cm="1">
        <f t="array" ref="E35">INDEX(actions!B:B,actions_all!$B35)</f>
        <v>Tactic</v>
      </c>
      <c r="F35" t="str" cm="1">
        <f t="array" ref="F35">INDEX(actions!C:C,actions_all!$B35)</f>
        <v>RUS</v>
      </c>
      <c r="G35" t="str" cm="1">
        <f t="array" ref="G35">INDEX(actions!D:D,actions_all!$B35)</f>
        <v>Destroy one territory belonging to your opponent that is under your control.</v>
      </c>
      <c r="H35" t="str" cm="1">
        <f t="array" ref="H35">INDEX(actions!E:E,actions_all!$B35)</f>
        <v>Images/scorched.jpg</v>
      </c>
      <c r="I35" t="str" cm="1">
        <f t="array" ref="I35">INDEX(actions!F:F,actions_all!$B35)</f>
        <v xml:space="preserve">
</v>
      </c>
      <c r="J35" t="str" cm="1">
        <f t="array" ref="J35">INDEX(actions!G:G,actions_all!$B35)</f>
        <v>0.0.1</v>
      </c>
    </row>
    <row r="36" spans="1:10" x14ac:dyDescent="0.25">
      <c r="A36">
        <v>1</v>
      </c>
      <c r="B36">
        <v>28</v>
      </c>
      <c r="C36" t="s">
        <v>175</v>
      </c>
      <c r="D36" t="str" cm="1">
        <f t="array" ref="D36">INDEX(actions!A:A,actions_all!$B36)</f>
        <v>Rapid Mobilization</v>
      </c>
      <c r="E36" t="str" cm="1">
        <f t="array" ref="E36">INDEX(actions!B:B,actions_all!$B36)</f>
        <v>Tactic</v>
      </c>
      <c r="F36" t="str" cm="1">
        <f t="array" ref="F36">INDEX(actions!C:C,actions_all!$B36)</f>
        <v>RUS</v>
      </c>
      <c r="G36" t="str" cm="1">
        <f t="array" ref="G36">INDEX(actions!D:D,actions_all!$B36)</f>
        <v>Search your library for military asset cards whose combined logistics is equal to or less than 4, put those cards into your hand, then shuffle your library.</v>
      </c>
      <c r="H36" t="str" cm="1">
        <f t="array" ref="H36">INDEX(actions!E:E,actions_all!$B36)</f>
        <v>Images/mobilization.jpg</v>
      </c>
      <c r="I36" t="str" cm="1">
        <f t="array" ref="I36">INDEX(actions!F:F,actions_all!$B36)</f>
        <v xml:space="preserve">
</v>
      </c>
      <c r="J36" t="str" cm="1">
        <f t="array" ref="J36">INDEX(actions!G:G,actions_all!$B36)</f>
        <v>0.0.1</v>
      </c>
    </row>
    <row r="37" spans="1:10" x14ac:dyDescent="0.25">
      <c r="A37">
        <v>1</v>
      </c>
      <c r="B37">
        <v>28</v>
      </c>
      <c r="C37" t="s">
        <v>177</v>
      </c>
      <c r="D37" t="str" cm="1">
        <f t="array" ref="D37">INDEX(actions!A:A,actions_all!$B37)</f>
        <v>Rapid Mobilization</v>
      </c>
      <c r="E37" t="str" cm="1">
        <f t="array" ref="E37">INDEX(actions!B:B,actions_all!$B37)</f>
        <v>Tactic</v>
      </c>
      <c r="F37" t="str" cm="1">
        <f t="array" ref="F37">INDEX(actions!C:C,actions_all!$B37)</f>
        <v>RUS</v>
      </c>
      <c r="G37" t="str" cm="1">
        <f t="array" ref="G37">INDEX(actions!D:D,actions_all!$B37)</f>
        <v>Search your library for military asset cards whose combined logistics is equal to or less than 4, put those cards into your hand, then shuffle your library.</v>
      </c>
      <c r="H37" t="str" cm="1">
        <f t="array" ref="H37">INDEX(actions!E:E,actions_all!$B37)</f>
        <v>Images/mobilization.jpg</v>
      </c>
      <c r="I37" t="str" cm="1">
        <f t="array" ref="I37">INDEX(actions!F:F,actions_all!$B37)</f>
        <v xml:space="preserve">
</v>
      </c>
      <c r="J37" t="str" cm="1">
        <f t="array" ref="J37">INDEX(actions!G:G,actions_all!$B37)</f>
        <v>0.0.1</v>
      </c>
    </row>
    <row r="38" spans="1:10" x14ac:dyDescent="0.25">
      <c r="A38">
        <v>1</v>
      </c>
      <c r="B38">
        <v>13</v>
      </c>
      <c r="C38" t="s">
        <v>176</v>
      </c>
      <c r="D38" t="str" cm="1">
        <f t="array" ref="D38">INDEX(actions!A:A,actions_all!$B38)</f>
        <v>The Long Winter</v>
      </c>
      <c r="E38" t="str" cm="1">
        <f t="array" ref="E38">INDEX(actions!B:B,actions_all!$B38)</f>
        <v>Strategy</v>
      </c>
      <c r="F38" t="str" cm="1">
        <f t="array" ref="F38">INDEX(actions!C:C,actions_all!$B38)</f>
        <v>RUS</v>
      </c>
      <c r="G38" t="str" cm="1">
        <f t="array" ref="G38">INDEX(actions!D:D,actions_all!$B38)</f>
        <v>Both players must discard 2 cards from their deck at the end of each turn.</v>
      </c>
      <c r="H38" t="str" cm="1">
        <f t="array" ref="H38">INDEX(actions!E:E,actions_all!$B38)</f>
        <v>Images/winter.jpg</v>
      </c>
      <c r="I38" t="str" cm="1">
        <f t="array" ref="I38">INDEX(actions!F:F,actions_all!$B38)</f>
        <v xml:space="preserve">
</v>
      </c>
      <c r="J38" t="str" cm="1">
        <f t="array" ref="J38">INDEX(actions!G:G,actions_all!$B38)</f>
        <v>0.0.1</v>
      </c>
    </row>
    <row r="39" spans="1:10" x14ac:dyDescent="0.25">
      <c r="A39">
        <v>1</v>
      </c>
      <c r="B39">
        <v>13</v>
      </c>
      <c r="C39" t="s">
        <v>304</v>
      </c>
      <c r="D39" t="str" cm="1">
        <f t="array" ref="D39">INDEX(actions!A:A,actions_all!$B39)</f>
        <v>The Long Winter</v>
      </c>
      <c r="E39" t="str" cm="1">
        <f t="array" ref="E39">INDEX(actions!B:B,actions_all!$B39)</f>
        <v>Strategy</v>
      </c>
      <c r="F39" t="str" cm="1">
        <f t="array" ref="F39">INDEX(actions!C:C,actions_all!$B39)</f>
        <v>RUS</v>
      </c>
      <c r="G39" t="str" cm="1">
        <f t="array" ref="G39">INDEX(actions!D:D,actions_all!$B39)</f>
        <v>Both players must discard 2 cards from their deck at the end of each turn.</v>
      </c>
      <c r="H39" t="str" cm="1">
        <f t="array" ref="H39">INDEX(actions!E:E,actions_all!$B39)</f>
        <v>Images/winter.jpg</v>
      </c>
      <c r="I39" t="str" cm="1">
        <f t="array" ref="I39">INDEX(actions!F:F,actions_all!$B39)</f>
        <v xml:space="preserve">
</v>
      </c>
      <c r="J39" t="str" cm="1">
        <f t="array" ref="J39">INDEX(actions!G:G,actions_all!$B39)</f>
        <v>0.0.1</v>
      </c>
    </row>
    <row r="40" spans="1:10" x14ac:dyDescent="0.25">
      <c r="A40">
        <v>1</v>
      </c>
      <c r="B40">
        <v>14</v>
      </c>
      <c r="C40" t="s">
        <v>176</v>
      </c>
      <c r="D40" t="str" cm="1">
        <f t="array" ref="D40">INDEX(actions!A:A,actions_all!$B40)</f>
        <v>State-Controlled Media</v>
      </c>
      <c r="E40" t="str" cm="1">
        <f t="array" ref="E40">INDEX(actions!B:B,actions_all!$B40)</f>
        <v>Strategy</v>
      </c>
      <c r="F40" t="str" cm="1">
        <f t="array" ref="F40">INDEX(actions!C:C,actions_all!$B40)</f>
        <v>RUS</v>
      </c>
      <c r="G40" t="str" cm="1">
        <f t="array" ref="G40">INDEX(actions!D:D,actions_all!$B40)</f>
        <v>Whenever you destroy a ship of logistics cost 3 or greater, you may look at the top card of your deck and may choose to put it on the bottom of your deck.</v>
      </c>
      <c r="H40" t="str" cm="1">
        <f t="array" ref="H40">INDEX(actions!E:E,actions_all!$B40)</f>
        <v>Images/statemedia.jpg</v>
      </c>
      <c r="I40" t="str" cm="1">
        <f t="array" ref="I40">INDEX(actions!F:F,actions_all!$B40)</f>
        <v xml:space="preserve">
</v>
      </c>
      <c r="J40" t="str" cm="1">
        <f t="array" ref="J40">INDEX(actions!G:G,actions_all!$B40)</f>
        <v>0.0.1</v>
      </c>
    </row>
    <row r="41" spans="1:10" x14ac:dyDescent="0.25">
      <c r="A41">
        <v>1</v>
      </c>
      <c r="B41">
        <v>14</v>
      </c>
      <c r="C41" t="s">
        <v>304</v>
      </c>
      <c r="D41" t="str" cm="1">
        <f t="array" ref="D41">INDEX(actions!A:A,actions_all!$B41)</f>
        <v>State-Controlled Media</v>
      </c>
      <c r="E41" t="str" cm="1">
        <f t="array" ref="E41">INDEX(actions!B:B,actions_all!$B41)</f>
        <v>Strategy</v>
      </c>
      <c r="F41" t="str" cm="1">
        <f t="array" ref="F41">INDEX(actions!C:C,actions_all!$B41)</f>
        <v>RUS</v>
      </c>
      <c r="G41" t="str" cm="1">
        <f t="array" ref="G41">INDEX(actions!D:D,actions_all!$B41)</f>
        <v>Whenever you destroy a ship of logistics cost 3 or greater, you may look at the top card of your deck and may choose to put it on the bottom of your deck.</v>
      </c>
      <c r="H41" t="str" cm="1">
        <f t="array" ref="H41">INDEX(actions!E:E,actions_all!$B41)</f>
        <v>Images/statemedia.jpg</v>
      </c>
      <c r="I41" t="str" cm="1">
        <f t="array" ref="I41">INDEX(actions!F:F,actions_all!$B41)</f>
        <v xml:space="preserve">
</v>
      </c>
      <c r="J41" t="str" cm="1">
        <f t="array" ref="J41">INDEX(actions!G:G,actions_all!$B41)</f>
        <v>0.0.1</v>
      </c>
    </row>
    <row r="42" spans="1:10" x14ac:dyDescent="0.25">
      <c r="A42">
        <v>1</v>
      </c>
      <c r="B42">
        <v>17</v>
      </c>
      <c r="C42" t="s">
        <v>176</v>
      </c>
      <c r="D42" t="str" cm="1">
        <f t="array" ref="D42">INDEX(actions!A:A,actions_all!$B42)</f>
        <v>The Russians Used a Pencil</v>
      </c>
      <c r="E42" t="str" cm="1">
        <f t="array" ref="E42">INDEX(actions!B:B,actions_all!$B42)</f>
        <v>Strategy</v>
      </c>
      <c r="F42" t="str" cm="1">
        <f t="array" ref="F42">INDEX(actions!C:C,actions_all!$B42)</f>
        <v>RUS</v>
      </c>
      <c r="G42" t="str" cm="1">
        <f t="array" ref="G42">INDEX(actions!D:D,actions_all!$B42)</f>
        <v>Each military asset you control requires 1 less logistics, with a minimum of 1 per military asset.</v>
      </c>
      <c r="H42" t="str" cm="1">
        <f t="array" ref="H42">INDEX(actions!E:E,actions_all!$B42)</f>
        <v>Images/sputnik.jpg</v>
      </c>
      <c r="I42" t="str" cm="1">
        <f t="array" ref="I42">INDEX(actions!F:F,actions_all!$B42)</f>
        <v xml:space="preserve">
</v>
      </c>
      <c r="J42" t="str" cm="1">
        <f t="array" ref="J42">INDEX(actions!G:G,actions_all!$B42)</f>
        <v>0.0.1</v>
      </c>
    </row>
    <row r="43" spans="1:10" x14ac:dyDescent="0.25">
      <c r="A43">
        <v>1</v>
      </c>
      <c r="B43">
        <v>17</v>
      </c>
      <c r="C43" t="s">
        <v>304</v>
      </c>
      <c r="D43" t="str" cm="1">
        <f t="array" ref="D43">INDEX(actions!A:A,actions_all!$B43)</f>
        <v>The Russians Used a Pencil</v>
      </c>
      <c r="E43" t="str" cm="1">
        <f t="array" ref="E43">INDEX(actions!B:B,actions_all!$B43)</f>
        <v>Strategy</v>
      </c>
      <c r="F43" t="str" cm="1">
        <f t="array" ref="F43">INDEX(actions!C:C,actions_all!$B43)</f>
        <v>RUS</v>
      </c>
      <c r="G43" t="str" cm="1">
        <f t="array" ref="G43">INDEX(actions!D:D,actions_all!$B43)</f>
        <v>Each military asset you control requires 1 less logistics, with a minimum of 1 per military asset.</v>
      </c>
      <c r="H43" t="str" cm="1">
        <f t="array" ref="H43">INDEX(actions!E:E,actions_all!$B43)</f>
        <v>Images/sputnik.jpg</v>
      </c>
      <c r="I43" t="str" cm="1">
        <f t="array" ref="I43">INDEX(actions!F:F,actions_all!$B43)</f>
        <v xml:space="preserve">
</v>
      </c>
      <c r="J43" t="str" cm="1">
        <f t="array" ref="J43">INDEX(actions!G:G,actions_all!$B43)</f>
        <v>0.0.1</v>
      </c>
    </row>
    <row r="44" spans="1:10" x14ac:dyDescent="0.25">
      <c r="A44">
        <v>1</v>
      </c>
      <c r="B44">
        <v>27</v>
      </c>
      <c r="C44" t="s">
        <v>176</v>
      </c>
      <c r="D44" t="str" cm="1">
        <f t="array" ref="D44">INDEX(actions!A:A,actions_all!$B44)</f>
        <v>Strategic Destabilization</v>
      </c>
      <c r="E44" t="str" cm="1">
        <f t="array" ref="E44">INDEX(actions!B:B,actions_all!$B44)</f>
        <v>Strategy</v>
      </c>
      <c r="F44" t="str" cm="1">
        <f t="array" ref="F44">INDEX(actions!C:C,actions_all!$B44)</f>
        <v>RUS</v>
      </c>
      <c r="G44" t="str" cm="1">
        <f t="array" ref="G44">INDEX(actions!D:D,actions_all!$B44)</f>
        <v>Your opponents territories provide 1 less logistics.</v>
      </c>
      <c r="H44" t="str" cm="1">
        <f t="array" ref="H44">INDEX(actions!E:E,actions_all!$B44)</f>
        <v>Images/electricgrid.jpg</v>
      </c>
      <c r="I44" t="str" cm="1">
        <f t="array" ref="I44">INDEX(actions!F:F,actions_all!$B44)</f>
        <v xml:space="preserve">
</v>
      </c>
      <c r="J44" t="str" cm="1">
        <f t="array" ref="J44">INDEX(actions!G:G,actions_all!$B44)</f>
        <v>0.0.1</v>
      </c>
    </row>
    <row r="45" spans="1:10" x14ac:dyDescent="0.25">
      <c r="A45">
        <v>1</v>
      </c>
      <c r="B45">
        <v>27</v>
      </c>
      <c r="C45" t="s">
        <v>304</v>
      </c>
      <c r="D45" t="str" cm="1">
        <f t="array" ref="D45">INDEX(actions!A:A,actions_all!$B45)</f>
        <v>Strategic Destabilization</v>
      </c>
      <c r="E45" t="str" cm="1">
        <f t="array" ref="E45">INDEX(actions!B:B,actions_all!$B45)</f>
        <v>Strategy</v>
      </c>
      <c r="F45" t="str" cm="1">
        <f t="array" ref="F45">INDEX(actions!C:C,actions_all!$B45)</f>
        <v>RUS</v>
      </c>
      <c r="G45" t="str" cm="1">
        <f t="array" ref="G45">INDEX(actions!D:D,actions_all!$B45)</f>
        <v>Your opponents territories provide 1 less logistics.</v>
      </c>
      <c r="H45" t="str" cm="1">
        <f t="array" ref="H45">INDEX(actions!E:E,actions_all!$B45)</f>
        <v>Images/electricgrid.jpg</v>
      </c>
      <c r="I45" t="str" cm="1">
        <f t="array" ref="I45">INDEX(actions!F:F,actions_all!$B45)</f>
        <v xml:space="preserve">
</v>
      </c>
      <c r="J45" t="str" cm="1">
        <f t="array" ref="J45">INDEX(actions!G:G,actions_all!$B45)</f>
        <v>0.0.1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05A72-9DE0-4247-9F2F-531B551ED433}">
  <sheetPr codeName="Sheet11"/>
  <dimension ref="A1:J24"/>
  <sheetViews>
    <sheetView workbookViewId="0">
      <selection activeCell="D16" sqref="D16"/>
    </sheetView>
  </sheetViews>
  <sheetFormatPr defaultRowHeight="15" x14ac:dyDescent="0.25"/>
  <cols>
    <col min="3" max="3" width="14.28515625" customWidth="1"/>
    <col min="4" max="4" width="43.7109375" customWidth="1"/>
  </cols>
  <sheetData>
    <row r="1" spans="1:10" x14ac:dyDescent="0.25">
      <c r="A1" t="s">
        <v>4</v>
      </c>
      <c r="B1" t="s">
        <v>117</v>
      </c>
      <c r="C1" t="s">
        <v>116</v>
      </c>
      <c r="D1" t="str">
        <f>actions!A1</f>
        <v>Title</v>
      </c>
      <c r="E1" t="str">
        <f>actions!B1</f>
        <v>Type</v>
      </c>
      <c r="F1" t="str">
        <f>actions!C1</f>
        <v>Roster</v>
      </c>
      <c r="G1" t="str">
        <f>actions!D1</f>
        <v>Description</v>
      </c>
      <c r="H1" t="str">
        <f>actions!E1</f>
        <v>Image</v>
      </c>
      <c r="I1" t="str">
        <f>actions!F1</f>
        <v>FlavorText</v>
      </c>
      <c r="J1" t="str">
        <f>actions!G1</f>
        <v>Version</v>
      </c>
    </row>
    <row r="2" spans="1:10" x14ac:dyDescent="0.25">
      <c r="A2">
        <v>1</v>
      </c>
      <c r="B2">
        <v>3</v>
      </c>
      <c r="C2" t="s">
        <v>175</v>
      </c>
      <c r="D2" t="str" cm="1">
        <f t="array" ref="D2">INDEX(actions!A:A,actions_us_start!$B2)</f>
        <v>Scuttlebutt</v>
      </c>
      <c r="E2" t="str" cm="1">
        <f t="array" ref="E2">INDEX(actions!B:B,actions_us_start!$B2)</f>
        <v>Tactic</v>
      </c>
      <c r="F2" t="str" cm="1">
        <f t="array" ref="F2">INDEX(actions!C:C,actions_us_start!$B2)</f>
        <v>USN</v>
      </c>
      <c r="G2" t="str" cm="1">
        <f t="array" ref="G2">INDEX(actions!D:D,actions_us_start!$B2)</f>
        <v>Look at and reorder the top 4 cards of your deck. You may put any number on the bottom of your deck.</v>
      </c>
      <c r="H2" t="str" cm="1">
        <f t="array" ref="H2">INDEX(actions!E:E,actions_us_start!$B2)</f>
        <v>Images/scuttlebutt.jpeg</v>
      </c>
      <c r="I2" t="str" cm="1">
        <f t="array" ref="I2">INDEX(actions!F:F,actions_us_start!$B2)</f>
        <v xml:space="preserve">
</v>
      </c>
      <c r="J2" t="str" cm="1">
        <f t="array" ref="J2">INDEX(actions!G:G,actions_us_start!$B2)</f>
        <v>0.0.1</v>
      </c>
    </row>
    <row r="3" spans="1:10" x14ac:dyDescent="0.25">
      <c r="A3">
        <v>1</v>
      </c>
      <c r="B3">
        <v>3</v>
      </c>
      <c r="C3" t="s">
        <v>177</v>
      </c>
      <c r="D3" t="str" cm="1">
        <f t="array" ref="D3">INDEX(actions!A:A,actions_us_start!$B3)</f>
        <v>Scuttlebutt</v>
      </c>
      <c r="E3" t="str" cm="1">
        <f t="array" ref="E3">INDEX(actions!B:B,actions_us_start!$B3)</f>
        <v>Tactic</v>
      </c>
      <c r="F3" t="str" cm="1">
        <f t="array" ref="F3">INDEX(actions!C:C,actions_us_start!$B3)</f>
        <v>USN</v>
      </c>
      <c r="G3" t="str" cm="1">
        <f t="array" ref="G3">INDEX(actions!D:D,actions_us_start!$B3)</f>
        <v>Look at and reorder the top 4 cards of your deck. You may put any number on the bottom of your deck.</v>
      </c>
      <c r="H3" t="str" cm="1">
        <f t="array" ref="H3">INDEX(actions!E:E,actions_us_start!$B3)</f>
        <v>Images/scuttlebutt.jpeg</v>
      </c>
      <c r="I3" t="str" cm="1">
        <f t="array" ref="I3">INDEX(actions!F:F,actions_us_start!$B3)</f>
        <v xml:space="preserve">
</v>
      </c>
      <c r="J3" t="str" cm="1">
        <f t="array" ref="J3">INDEX(actions!G:G,actions_us_start!$B3)</f>
        <v>0.0.1</v>
      </c>
    </row>
    <row r="4" spans="1:10" x14ac:dyDescent="0.25">
      <c r="A4">
        <v>0</v>
      </c>
      <c r="B4">
        <v>4</v>
      </c>
      <c r="C4" t="s">
        <v>175</v>
      </c>
      <c r="D4" t="str" cm="1">
        <f t="array" ref="D4">INDEX(actions!A:A,actions_us_start!$B4)</f>
        <v>AF Is Short On Water</v>
      </c>
      <c r="E4" t="str" cm="1">
        <f t="array" ref="E4">INDEX(actions!B:B,actions_us_start!$B4)</f>
        <v>Tactic</v>
      </c>
      <c r="F4" t="str" cm="1">
        <f t="array" ref="F4">INDEX(actions!C:C,actions_us_start!$B4)</f>
        <v>USN</v>
      </c>
      <c r="G4" t="str" cm="1">
        <f t="array" ref="G4">INDEX(actions!D:D,actions_us_start!$B4)</f>
        <v xml:space="preserve">Immediately (during this action step) take one military asset card from your hand and put it into play under your control face up; it may attack or defend this turn. This military asset must be otherwise valid to play. </v>
      </c>
      <c r="H4" t="str" cm="1">
        <f t="array" ref="H4">INDEX(actions!E:E,actions_us_start!$B4)</f>
        <v>Images/midway.jpg</v>
      </c>
      <c r="I4" t="str" cm="1">
        <f t="array" ref="I4">INDEX(actions!F:F,actions_us_start!$B4)</f>
        <v xml:space="preserve">
</v>
      </c>
      <c r="J4" t="str" cm="1">
        <f t="array" ref="J4">INDEX(actions!G:G,actions_us_start!$B4)</f>
        <v>0.0.1</v>
      </c>
    </row>
    <row r="5" spans="1:10" x14ac:dyDescent="0.25">
      <c r="A5">
        <v>0</v>
      </c>
      <c r="B5">
        <v>4</v>
      </c>
      <c r="C5" t="s">
        <v>177</v>
      </c>
      <c r="D5" t="str" cm="1">
        <f t="array" ref="D5">INDEX(actions!A:A,actions_us_start!$B5)</f>
        <v>AF Is Short On Water</v>
      </c>
      <c r="E5" t="str" cm="1">
        <f t="array" ref="E5">INDEX(actions!B:B,actions_us_start!$B5)</f>
        <v>Tactic</v>
      </c>
      <c r="F5" t="str" cm="1">
        <f t="array" ref="F5">INDEX(actions!C:C,actions_us_start!$B5)</f>
        <v>USN</v>
      </c>
      <c r="G5" t="str" cm="1">
        <f t="array" ref="G5">INDEX(actions!D:D,actions_us_start!$B5)</f>
        <v xml:space="preserve">Immediately (during this action step) take one military asset card from your hand and put it into play under your control face up; it may attack or defend this turn. This military asset must be otherwise valid to play. </v>
      </c>
      <c r="H5" t="str" cm="1">
        <f t="array" ref="H5">INDEX(actions!E:E,actions_us_start!$B5)</f>
        <v>Images/midway.jpg</v>
      </c>
      <c r="I5" t="str" cm="1">
        <f t="array" ref="I5">INDEX(actions!F:F,actions_us_start!$B5)</f>
        <v xml:space="preserve">
</v>
      </c>
      <c r="J5" t="str" cm="1">
        <f t="array" ref="J5">INDEX(actions!G:G,actions_us_start!$B5)</f>
        <v>0.0.1</v>
      </c>
    </row>
    <row r="6" spans="1:10" x14ac:dyDescent="0.25">
      <c r="A6">
        <v>0</v>
      </c>
      <c r="B6">
        <v>6</v>
      </c>
      <c r="C6" t="s">
        <v>175</v>
      </c>
      <c r="D6" t="str" cm="1">
        <f t="array" ref="D6">INDEX(actions!A:A,actions_us_start!$B6)</f>
        <v>KH-11 Key Hole</v>
      </c>
      <c r="E6" t="str" cm="1">
        <f t="array" ref="E6">INDEX(actions!B:B,actions_us_start!$B6)</f>
        <v>Tactic</v>
      </c>
      <c r="F6" t="str" cm="1">
        <f t="array" ref="F6">INDEX(actions!C:C,actions_us_start!$B6)</f>
        <v>USN</v>
      </c>
      <c r="G6" t="str" cm="1">
        <f t="array" ref="G6">INDEX(actions!D:D,actions_us_start!$B6)</f>
        <v>Flip all military assets your opponent controls face up. You opponent must also reveal their hand.</v>
      </c>
      <c r="H6" t="str" cm="1">
        <f t="array" ref="H6">INDEX(actions!E:E,actions_us_start!$B6)</f>
        <v>Images/keyhole.jpg</v>
      </c>
      <c r="I6" t="str" cm="1">
        <f t="array" ref="I6">INDEX(actions!F:F,actions_us_start!$B6)</f>
        <v xml:space="preserve">
</v>
      </c>
      <c r="J6" t="str" cm="1">
        <f t="array" ref="J6">INDEX(actions!G:G,actions_us_start!$B6)</f>
        <v>0.0.1</v>
      </c>
    </row>
    <row r="7" spans="1:10" x14ac:dyDescent="0.25">
      <c r="A7">
        <v>1</v>
      </c>
      <c r="B7">
        <v>6</v>
      </c>
      <c r="C7" t="s">
        <v>177</v>
      </c>
      <c r="D7" t="str" cm="1">
        <f t="array" ref="D7">INDEX(actions!A:A,actions_us_start!$B7)</f>
        <v>KH-11 Key Hole</v>
      </c>
      <c r="E7" t="str" cm="1">
        <f t="array" ref="E7">INDEX(actions!B:B,actions_us_start!$B7)</f>
        <v>Tactic</v>
      </c>
      <c r="F7" t="str" cm="1">
        <f t="array" ref="F7">INDEX(actions!C:C,actions_us_start!$B7)</f>
        <v>USN</v>
      </c>
      <c r="G7" t="str" cm="1">
        <f t="array" ref="G7">INDEX(actions!D:D,actions_us_start!$B7)</f>
        <v>Flip all military assets your opponent controls face up. You opponent must also reveal their hand.</v>
      </c>
      <c r="H7" t="str" cm="1">
        <f t="array" ref="H7">INDEX(actions!E:E,actions_us_start!$B7)</f>
        <v>Images/keyhole.jpg</v>
      </c>
      <c r="I7" t="str" cm="1">
        <f t="array" ref="I7">INDEX(actions!F:F,actions_us_start!$B7)</f>
        <v xml:space="preserve">
</v>
      </c>
      <c r="J7" t="str" cm="1">
        <f t="array" ref="J7">INDEX(actions!G:G,actions_us_start!$B7)</f>
        <v>0.0.1</v>
      </c>
    </row>
    <row r="8" spans="1:10" x14ac:dyDescent="0.25">
      <c r="A8">
        <v>0</v>
      </c>
      <c r="B8">
        <v>9</v>
      </c>
      <c r="C8" t="s">
        <v>175</v>
      </c>
      <c r="D8" t="str" cm="1">
        <f t="array" ref="D8">INDEX(actions!A:A,actions_us_start!$B8)</f>
        <v>NATO Allies</v>
      </c>
      <c r="E8" t="str" cm="1">
        <f t="array" ref="E8">INDEX(actions!B:B,actions_us_start!$B8)</f>
        <v>Tactic</v>
      </c>
      <c r="F8" t="str" cm="1">
        <f t="array" ref="F8">INDEX(actions!C:C,actions_us_start!$B8)</f>
        <v>USN</v>
      </c>
      <c r="G8" t="str" cm="1">
        <f t="array" ref="G8">INDEX(actions!D:D,actions_us_start!$B8)</f>
        <v>Search your deck for an air squadron, reveal it, and place it on a territory you control. Then shuffle your deck. You must control a territory to play this card.</v>
      </c>
      <c r="H8" t="str" cm="1">
        <f t="array" ref="H8">INDEX(actions!E:E,actions_us_start!$B8)</f>
        <v>Images/nato.jpg</v>
      </c>
      <c r="I8" t="str" cm="1">
        <f t="array" ref="I8">INDEX(actions!F:F,actions_us_start!$B8)</f>
        <v xml:space="preserve">
</v>
      </c>
      <c r="J8" t="str" cm="1">
        <f t="array" ref="J8">INDEX(actions!G:G,actions_us_start!$B8)</f>
        <v>0.0.1</v>
      </c>
    </row>
    <row r="9" spans="1:10" x14ac:dyDescent="0.25">
      <c r="A9">
        <v>1</v>
      </c>
      <c r="B9">
        <v>9</v>
      </c>
      <c r="C9" t="s">
        <v>177</v>
      </c>
      <c r="D9" t="str" cm="1">
        <f t="array" ref="D9">INDEX(actions!A:A,actions_us_start!$B9)</f>
        <v>NATO Allies</v>
      </c>
      <c r="E9" t="str" cm="1">
        <f t="array" ref="E9">INDEX(actions!B:B,actions_us_start!$B9)</f>
        <v>Tactic</v>
      </c>
      <c r="F9" t="str" cm="1">
        <f t="array" ref="F9">INDEX(actions!C:C,actions_us_start!$B9)</f>
        <v>USN</v>
      </c>
      <c r="G9" t="str" cm="1">
        <f t="array" ref="G9">INDEX(actions!D:D,actions_us_start!$B9)</f>
        <v>Search your deck for an air squadron, reveal it, and place it on a territory you control. Then shuffle your deck. You must control a territory to play this card.</v>
      </c>
      <c r="H9" t="str" cm="1">
        <f t="array" ref="H9">INDEX(actions!E:E,actions_us_start!$B9)</f>
        <v>Images/nato.jpg</v>
      </c>
      <c r="I9" t="str" cm="1">
        <f t="array" ref="I9">INDEX(actions!F:F,actions_us_start!$B9)</f>
        <v xml:space="preserve">
</v>
      </c>
      <c r="J9" t="str" cm="1">
        <f t="array" ref="J9">INDEX(actions!G:G,actions_us_start!$B9)</f>
        <v>0.0.1</v>
      </c>
    </row>
    <row r="10" spans="1:10" x14ac:dyDescent="0.25">
      <c r="A10">
        <v>1</v>
      </c>
      <c r="B10">
        <v>9</v>
      </c>
      <c r="C10" t="s">
        <v>302</v>
      </c>
      <c r="D10" t="str" cm="1">
        <f t="array" ref="D10">INDEX(actions!A:A,actions_us_start!$B10)</f>
        <v>NATO Allies</v>
      </c>
      <c r="E10" t="str" cm="1">
        <f t="array" ref="E10">INDEX(actions!B:B,actions_us_start!$B10)</f>
        <v>Tactic</v>
      </c>
      <c r="F10" t="str" cm="1">
        <f t="array" ref="F10">INDEX(actions!C:C,actions_us_start!$B10)</f>
        <v>USN</v>
      </c>
      <c r="G10" t="str" cm="1">
        <f t="array" ref="G10">INDEX(actions!D:D,actions_us_start!$B10)</f>
        <v>Search your deck for an air squadron, reveal it, and place it on a territory you control. Then shuffle your deck. You must control a territory to play this card.</v>
      </c>
      <c r="H10" t="str" cm="1">
        <f t="array" ref="H10">INDEX(actions!E:E,actions_us_start!$B10)</f>
        <v>Images/nato.jpg</v>
      </c>
      <c r="I10" t="str" cm="1">
        <f t="array" ref="I10">INDEX(actions!F:F,actions_us_start!$B10)</f>
        <v xml:space="preserve">
</v>
      </c>
      <c r="J10" t="str" cm="1">
        <f t="array" ref="J10">INDEX(actions!G:G,actions_us_start!$B10)</f>
        <v>0.0.1</v>
      </c>
    </row>
    <row r="11" spans="1:10" x14ac:dyDescent="0.25">
      <c r="A11">
        <v>1</v>
      </c>
      <c r="B11">
        <v>9</v>
      </c>
      <c r="C11" t="s">
        <v>303</v>
      </c>
      <c r="D11" t="str" cm="1">
        <f t="array" ref="D11">INDEX(actions!A:A,actions_us_start!$B11)</f>
        <v>NATO Allies</v>
      </c>
      <c r="E11" t="str" cm="1">
        <f t="array" ref="E11">INDEX(actions!B:B,actions_us_start!$B11)</f>
        <v>Tactic</v>
      </c>
      <c r="F11" t="str" cm="1">
        <f t="array" ref="F11">INDEX(actions!C:C,actions_us_start!$B11)</f>
        <v>USN</v>
      </c>
      <c r="G11" t="str" cm="1">
        <f t="array" ref="G11">INDEX(actions!D:D,actions_us_start!$B11)</f>
        <v>Search your deck for an air squadron, reveal it, and place it on a territory you control. Then shuffle your deck. You must control a territory to play this card.</v>
      </c>
      <c r="H11" t="str" cm="1">
        <f t="array" ref="H11">INDEX(actions!E:E,actions_us_start!$B11)</f>
        <v>Images/nato.jpg</v>
      </c>
      <c r="I11" t="str" cm="1">
        <f t="array" ref="I11">INDEX(actions!F:F,actions_us_start!$B11)</f>
        <v xml:space="preserve">
</v>
      </c>
      <c r="J11" t="str" cm="1">
        <f t="array" ref="J11">INDEX(actions!G:G,actions_us_start!$B11)</f>
        <v>0.0.1</v>
      </c>
    </row>
    <row r="12" spans="1:10" x14ac:dyDescent="0.25">
      <c r="A12">
        <v>0</v>
      </c>
      <c r="B12">
        <v>10</v>
      </c>
      <c r="C12" t="s">
        <v>175</v>
      </c>
      <c r="D12" t="str" cm="1">
        <f t="array" ref="D12">INDEX(actions!A:A,actions_us_start!$B12)</f>
        <v>Uncommon Valor Was A Common Virtue</v>
      </c>
      <c r="E12" t="str" cm="1">
        <f t="array" ref="E12">INDEX(actions!B:B,actions_us_start!$B12)</f>
        <v>Tactic</v>
      </c>
      <c r="F12" t="str" cm="1">
        <f t="array" ref="F12">INDEX(actions!C:C,actions_us_start!$B12)</f>
        <v>USN</v>
      </c>
      <c r="G12" t="str" cm="1">
        <f t="array" ref="G12">INDEX(actions!D:D,actions_us_start!$B12)</f>
        <v>You may immediately discard one military asset from an attack you've declared in order to add twice that asset's attack statistic to your damage total during the Normal Damage Step.</v>
      </c>
      <c r="H12" t="str" cm="1">
        <f t="array" ref="H12">INDEX(actions!E:E,actions_us_start!$B12)</f>
        <v>Images/valor.jpg</v>
      </c>
      <c r="I12" t="str" cm="1">
        <f t="array" ref="I12">INDEX(actions!F:F,actions_us_start!$B12)</f>
        <v xml:space="preserve">
</v>
      </c>
      <c r="J12" t="str" cm="1">
        <f t="array" ref="J12">INDEX(actions!G:G,actions_us_start!$B12)</f>
        <v>0.0.1</v>
      </c>
    </row>
    <row r="13" spans="1:10" x14ac:dyDescent="0.25">
      <c r="A13">
        <v>0</v>
      </c>
      <c r="B13">
        <v>10</v>
      </c>
      <c r="C13" t="s">
        <v>177</v>
      </c>
      <c r="D13" t="str" cm="1">
        <f t="array" ref="D13">INDEX(actions!A:A,actions_us_start!$B13)</f>
        <v>Uncommon Valor Was A Common Virtue</v>
      </c>
      <c r="E13" t="str" cm="1">
        <f t="array" ref="E13">INDEX(actions!B:B,actions_us_start!$B13)</f>
        <v>Tactic</v>
      </c>
      <c r="F13" t="str" cm="1">
        <f t="array" ref="F13">INDEX(actions!C:C,actions_us_start!$B13)</f>
        <v>USN</v>
      </c>
      <c r="G13" t="str" cm="1">
        <f t="array" ref="G13">INDEX(actions!D:D,actions_us_start!$B13)</f>
        <v>You may immediately discard one military asset from an attack you've declared in order to add twice that asset's attack statistic to your damage total during the Normal Damage Step.</v>
      </c>
      <c r="H13" t="str" cm="1">
        <f t="array" ref="H13">INDEX(actions!E:E,actions_us_start!$B13)</f>
        <v>Images/valor.jpg</v>
      </c>
      <c r="I13" t="str" cm="1">
        <f t="array" ref="I13">INDEX(actions!F:F,actions_us_start!$B13)</f>
        <v xml:space="preserve">
</v>
      </c>
      <c r="J13" t="str" cm="1">
        <f t="array" ref="J13">INDEX(actions!G:G,actions_us_start!$B13)</f>
        <v>0.0.1</v>
      </c>
    </row>
    <row r="14" spans="1:10" x14ac:dyDescent="0.25">
      <c r="A14">
        <v>1</v>
      </c>
      <c r="B14">
        <v>11</v>
      </c>
      <c r="C14" t="s">
        <v>175</v>
      </c>
      <c r="D14" t="str" cm="1">
        <f t="array" ref="D14">INDEX(actions!A:A,actions_us_start!$B14)</f>
        <v>I Have Not Yet Begun To Fight</v>
      </c>
      <c r="E14" t="str" cm="1">
        <f t="array" ref="E14">INDEX(actions!B:B,actions_us_start!$B14)</f>
        <v>Tactic</v>
      </c>
      <c r="F14" t="str" cm="1">
        <f t="array" ref="F14">INDEX(actions!C:C,actions_us_start!$B14)</f>
        <v>USN</v>
      </c>
      <c r="G14" t="str" cm="1">
        <f t="array" ref="G14">INDEX(actions!D:D,actions_us_start!$B14)</f>
        <v>Retrieve one card from your discard pile, reveal it, and put it on top of your deck.</v>
      </c>
      <c r="H14" t="str" cm="1">
        <f t="array" ref="H14">INDEX(actions!E:E,actions_us_start!$B14)</f>
        <v>Images/fight.jpg</v>
      </c>
      <c r="I14" t="str" cm="1">
        <f t="array" ref="I14">INDEX(actions!F:F,actions_us_start!$B14)</f>
        <v xml:space="preserve">
</v>
      </c>
      <c r="J14" t="str" cm="1">
        <f t="array" ref="J14">INDEX(actions!G:G,actions_us_start!$B14)</f>
        <v>0.0.1</v>
      </c>
    </row>
    <row r="15" spans="1:10" x14ac:dyDescent="0.25">
      <c r="A15">
        <v>1</v>
      </c>
      <c r="B15">
        <v>11</v>
      </c>
      <c r="C15" t="s">
        <v>177</v>
      </c>
      <c r="D15" t="str" cm="1">
        <f t="array" ref="D15">INDEX(actions!A:A,actions_us_start!$B15)</f>
        <v>I Have Not Yet Begun To Fight</v>
      </c>
      <c r="E15" t="str" cm="1">
        <f t="array" ref="E15">INDEX(actions!B:B,actions_us_start!$B15)</f>
        <v>Tactic</v>
      </c>
      <c r="F15" t="str" cm="1">
        <f t="array" ref="F15">INDEX(actions!C:C,actions_us_start!$B15)</f>
        <v>USN</v>
      </c>
      <c r="G15" t="str" cm="1">
        <f t="array" ref="G15">INDEX(actions!D:D,actions_us_start!$B15)</f>
        <v>Retrieve one card from your discard pile, reveal it, and put it on top of your deck.</v>
      </c>
      <c r="H15" t="str" cm="1">
        <f t="array" ref="H15">INDEX(actions!E:E,actions_us_start!$B15)</f>
        <v>Images/fight.jpg</v>
      </c>
      <c r="I15" t="str" cm="1">
        <f t="array" ref="I15">INDEX(actions!F:F,actions_us_start!$B15)</f>
        <v xml:space="preserve">
</v>
      </c>
      <c r="J15" t="str" cm="1">
        <f t="array" ref="J15">INDEX(actions!G:G,actions_us_start!$B15)</f>
        <v>0.0.1</v>
      </c>
    </row>
    <row r="16" spans="1:10" x14ac:dyDescent="0.25">
      <c r="A16">
        <v>0</v>
      </c>
      <c r="B16">
        <v>11</v>
      </c>
      <c r="C16" t="s">
        <v>302</v>
      </c>
      <c r="D16" t="str" cm="1">
        <f t="array" ref="D16">INDEX(actions!A:A,actions_us_start!$B16)</f>
        <v>I Have Not Yet Begun To Fight</v>
      </c>
      <c r="E16" t="str" cm="1">
        <f t="array" ref="E16">INDEX(actions!B:B,actions_us_start!$B16)</f>
        <v>Tactic</v>
      </c>
      <c r="F16" t="str" cm="1">
        <f t="array" ref="F16">INDEX(actions!C:C,actions_us_start!$B16)</f>
        <v>USN</v>
      </c>
      <c r="G16" t="str" cm="1">
        <f t="array" ref="G16">INDEX(actions!D:D,actions_us_start!$B16)</f>
        <v>Retrieve one card from your discard pile, reveal it, and put it on top of your deck.</v>
      </c>
      <c r="H16" t="str" cm="1">
        <f t="array" ref="H16">INDEX(actions!E:E,actions_us_start!$B16)</f>
        <v>Images/fight.jpg</v>
      </c>
      <c r="I16" t="str" cm="1">
        <f t="array" ref="I16">INDEX(actions!F:F,actions_us_start!$B16)</f>
        <v xml:space="preserve">
</v>
      </c>
      <c r="J16" t="str" cm="1">
        <f t="array" ref="J16">INDEX(actions!G:G,actions_us_start!$B16)</f>
        <v>0.0.1</v>
      </c>
    </row>
    <row r="17" spans="1:10" x14ac:dyDescent="0.25">
      <c r="A17">
        <v>1</v>
      </c>
      <c r="B17">
        <v>25</v>
      </c>
      <c r="C17" t="s">
        <v>175</v>
      </c>
      <c r="D17" t="str" cm="1">
        <f t="array" ref="D17">INDEX(actions!A:A,actions_us_start!$B17)</f>
        <v>That's the Spirit!</v>
      </c>
      <c r="E17" t="str" cm="1">
        <f t="array" ref="E17">INDEX(actions!B:B,actions_us_start!$B17)</f>
        <v>Tactic</v>
      </c>
      <c r="F17" t="str" cm="1">
        <f t="array" ref="F17">INDEX(actions!C:C,actions_us_start!$B17)</f>
        <v>USN</v>
      </c>
      <c r="G17" t="str" cm="1">
        <f t="array" ref="G17">INDEX(actions!D:D,actions_us_start!$B17)</f>
        <v>Immediately destroy one face-up military asset whose total defense including Help Defense and stationed aircraft is 6 or less.</v>
      </c>
      <c r="H17" t="str" cm="1">
        <f t="array" ref="H17">INDEX(actions!E:E,actions_us_start!$B17)</f>
        <v>Images/b2.jpg</v>
      </c>
      <c r="I17" t="str" cm="1">
        <f t="array" ref="I17">INDEX(actions!F:F,actions_us_start!$B17)</f>
        <v xml:space="preserve">
</v>
      </c>
      <c r="J17" t="str" cm="1">
        <f t="array" ref="J17">INDEX(actions!G:G,actions_us_start!$B17)</f>
        <v>0.0.1</v>
      </c>
    </row>
    <row r="18" spans="1:10" x14ac:dyDescent="0.25">
      <c r="A18">
        <v>1</v>
      </c>
      <c r="B18">
        <v>25</v>
      </c>
      <c r="C18" t="s">
        <v>177</v>
      </c>
      <c r="D18" t="str" cm="1">
        <f t="array" ref="D18">INDEX(actions!A:A,actions_us_start!$B18)</f>
        <v>That's the Spirit!</v>
      </c>
      <c r="E18" t="str" cm="1">
        <f t="array" ref="E18">INDEX(actions!B:B,actions_us_start!$B18)</f>
        <v>Tactic</v>
      </c>
      <c r="F18" t="str" cm="1">
        <f t="array" ref="F18">INDEX(actions!C:C,actions_us_start!$B18)</f>
        <v>USN</v>
      </c>
      <c r="G18" t="str" cm="1">
        <f t="array" ref="G18">INDEX(actions!D:D,actions_us_start!$B18)</f>
        <v>Immediately destroy one face-up military asset whose total defense including Help Defense and stationed aircraft is 6 or less.</v>
      </c>
      <c r="H18" t="str" cm="1">
        <f t="array" ref="H18">INDEX(actions!E:E,actions_us_start!$B18)</f>
        <v>Images/b2.jpg</v>
      </c>
      <c r="I18" t="str" cm="1">
        <f t="array" ref="I18">INDEX(actions!F:F,actions_us_start!$B18)</f>
        <v xml:space="preserve">
</v>
      </c>
      <c r="J18" t="str" cm="1">
        <f t="array" ref="J18">INDEX(actions!G:G,actions_us_start!$B18)</f>
        <v>0.0.1</v>
      </c>
    </row>
    <row r="19" spans="1:10" x14ac:dyDescent="0.25">
      <c r="A19">
        <v>0</v>
      </c>
      <c r="B19">
        <v>7</v>
      </c>
      <c r="C19" t="s">
        <v>176</v>
      </c>
      <c r="D19" t="str" cm="1">
        <f t="array" ref="D19">INDEX(actions!A:A,actions_us_start!$B19)</f>
        <v>Semper Fidelis</v>
      </c>
      <c r="E19" t="str" cm="1">
        <f t="array" ref="E19">INDEX(actions!B:B,actions_us_start!$B19)</f>
        <v>Strategy</v>
      </c>
      <c r="F19" t="str" cm="1">
        <f t="array" ref="F19">INDEX(actions!C:C,actions_us_start!$B19)</f>
        <v>USN</v>
      </c>
      <c r="G19" t="str" cm="1">
        <f t="array" ref="G19">INDEX(actions!D:D,actions_us_start!$B19)</f>
        <v>Whenever an opponent buys-back a territory card you control, they must discard an additional card from their deck.</v>
      </c>
      <c r="H19" t="str" cm="1">
        <f t="array" ref="H19">INDEX(actions!E:E,actions_us_start!$B19)</f>
        <v>Images/semperfi.jpg</v>
      </c>
      <c r="I19" t="str" cm="1">
        <f t="array" ref="I19">INDEX(actions!F:F,actions_us_start!$B19)</f>
        <v xml:space="preserve">
</v>
      </c>
      <c r="J19" t="str" cm="1">
        <f t="array" ref="J19">INDEX(actions!G:G,actions_us_start!$B19)</f>
        <v>0.0.1</v>
      </c>
    </row>
    <row r="20" spans="1:10" x14ac:dyDescent="0.25">
      <c r="A20">
        <v>0</v>
      </c>
      <c r="B20">
        <v>7</v>
      </c>
      <c r="C20" t="s">
        <v>304</v>
      </c>
      <c r="D20" t="str" cm="1">
        <f t="array" ref="D20">INDEX(actions!A:A,actions_us_start!$B20)</f>
        <v>Semper Fidelis</v>
      </c>
      <c r="E20" t="str" cm="1">
        <f t="array" ref="E20">INDEX(actions!B:B,actions_us_start!$B20)</f>
        <v>Strategy</v>
      </c>
      <c r="F20" t="str" cm="1">
        <f t="array" ref="F20">INDEX(actions!C:C,actions_us_start!$B20)</f>
        <v>USN</v>
      </c>
      <c r="G20" t="str" cm="1">
        <f t="array" ref="G20">INDEX(actions!D:D,actions_us_start!$B20)</f>
        <v>Whenever an opponent buys-back a territory card you control, they must discard an additional card from their deck.</v>
      </c>
      <c r="H20" t="str" cm="1">
        <f t="array" ref="H20">INDEX(actions!E:E,actions_us_start!$B20)</f>
        <v>Images/semperfi.jpg</v>
      </c>
      <c r="I20" t="str" cm="1">
        <f t="array" ref="I20">INDEX(actions!F:F,actions_us_start!$B20)</f>
        <v xml:space="preserve">
</v>
      </c>
      <c r="J20" t="str" cm="1">
        <f t="array" ref="J20">INDEX(actions!G:G,actions_us_start!$B20)</f>
        <v>0.0.1</v>
      </c>
    </row>
    <row r="21" spans="1:10" x14ac:dyDescent="0.25">
      <c r="A21">
        <v>0</v>
      </c>
      <c r="B21">
        <v>8</v>
      </c>
      <c r="C21" t="s">
        <v>176</v>
      </c>
      <c r="D21" t="str" cm="1">
        <f t="array" ref="D21">INDEX(actions!A:A,actions_us_start!$B21)</f>
        <v>Build 'Em Faster Than They Can Sink 'Em</v>
      </c>
      <c r="E21" t="str" cm="1">
        <f t="array" ref="E21">INDEX(actions!B:B,actions_us_start!$B21)</f>
        <v>Strategy</v>
      </c>
      <c r="F21" t="str" cm="1">
        <f t="array" ref="F21">INDEX(actions!C:C,actions_us_start!$B21)</f>
        <v>USN</v>
      </c>
      <c r="G21" t="str" cm="1">
        <f t="array" ref="G21">INDEX(actions!D:D,actions_us_start!$B21)</f>
        <v>Whenever you lose a military asset of logistics 3 or greater, you may draw a card.</v>
      </c>
      <c r="H21" t="str" cm="1">
        <f t="array" ref="H21">INDEX(actions!E:E,actions_us_start!$B21)</f>
        <v>Images/buildem.jpg</v>
      </c>
      <c r="I21" t="str" cm="1">
        <f t="array" ref="I21">INDEX(actions!F:F,actions_us_start!$B21)</f>
        <v xml:space="preserve">
</v>
      </c>
      <c r="J21" t="str" cm="1">
        <f t="array" ref="J21">INDEX(actions!G:G,actions_us_start!$B21)</f>
        <v>0.0.1</v>
      </c>
    </row>
    <row r="22" spans="1:10" x14ac:dyDescent="0.25">
      <c r="A22">
        <v>0</v>
      </c>
      <c r="B22">
        <v>8</v>
      </c>
      <c r="C22" t="s">
        <v>304</v>
      </c>
      <c r="D22" t="str" cm="1">
        <f t="array" ref="D22">INDEX(actions!A:A,actions_us_start!$B22)</f>
        <v>Build 'Em Faster Than They Can Sink 'Em</v>
      </c>
      <c r="E22" t="str" cm="1">
        <f t="array" ref="E22">INDEX(actions!B:B,actions_us_start!$B22)</f>
        <v>Strategy</v>
      </c>
      <c r="F22" t="str" cm="1">
        <f t="array" ref="F22">INDEX(actions!C:C,actions_us_start!$B22)</f>
        <v>USN</v>
      </c>
      <c r="G22" t="str" cm="1">
        <f t="array" ref="G22">INDEX(actions!D:D,actions_us_start!$B22)</f>
        <v>Whenever you lose a military asset of logistics 3 or greater, you may draw a card.</v>
      </c>
      <c r="H22" t="str" cm="1">
        <f t="array" ref="H22">INDEX(actions!E:E,actions_us_start!$B22)</f>
        <v>Images/buildem.jpg</v>
      </c>
      <c r="I22" t="str" cm="1">
        <f t="array" ref="I22">INDEX(actions!F:F,actions_us_start!$B22)</f>
        <v xml:space="preserve">
</v>
      </c>
      <c r="J22" t="str" cm="1">
        <f t="array" ref="J22">INDEX(actions!G:G,actions_us_start!$B22)</f>
        <v>0.0.1</v>
      </c>
    </row>
    <row r="23" spans="1:10" x14ac:dyDescent="0.25">
      <c r="A23">
        <v>0</v>
      </c>
      <c r="B23">
        <v>26</v>
      </c>
      <c r="C23" t="s">
        <v>176</v>
      </c>
      <c r="D23" t="str" cm="1">
        <f t="array" ref="D23">INDEX(actions!A:A,actions_us_start!$B23)</f>
        <v>Aerial Refueling</v>
      </c>
      <c r="E23" t="str" cm="1">
        <f t="array" ref="E23">INDEX(actions!B:B,actions_us_start!$B23)</f>
        <v>Strategy</v>
      </c>
      <c r="F23" t="str" cm="1">
        <f t="array" ref="F23">INDEX(actions!C:C,actions_us_start!$B23)</f>
        <v>USN</v>
      </c>
      <c r="G23" t="str" cm="1">
        <f t="array" ref="G23">INDEX(actions!D:D,actions_us_start!$B23)</f>
        <v>Carriers you control do not need to take part in the damage order of an attack in order for their aircraft to take part in an attack. Carriers are still considered to be attacking, and can still only attack one target per turn.</v>
      </c>
      <c r="H23" t="str" cm="1">
        <f t="array" ref="H23">INDEX(actions!E:E,actions_us_start!$B23)</f>
        <v>Images/refuel.jpg</v>
      </c>
      <c r="I23" t="str" cm="1">
        <f t="array" ref="I23">INDEX(actions!F:F,actions_us_start!$B23)</f>
        <v xml:space="preserve">
</v>
      </c>
      <c r="J23" t="str" cm="1">
        <f t="array" ref="J23">INDEX(actions!G:G,actions_us_start!$B23)</f>
        <v>0.0.1</v>
      </c>
    </row>
    <row r="24" spans="1:10" x14ac:dyDescent="0.25">
      <c r="A24">
        <v>0</v>
      </c>
      <c r="B24">
        <v>26</v>
      </c>
      <c r="C24" t="s">
        <v>304</v>
      </c>
      <c r="D24" t="str" cm="1">
        <f t="array" ref="D24">INDEX(actions!A:A,actions_us_start!$B24)</f>
        <v>Aerial Refueling</v>
      </c>
      <c r="E24" t="str" cm="1">
        <f t="array" ref="E24">INDEX(actions!B:B,actions_us_start!$B24)</f>
        <v>Strategy</v>
      </c>
      <c r="F24" t="str" cm="1">
        <f t="array" ref="F24">INDEX(actions!C:C,actions_us_start!$B24)</f>
        <v>USN</v>
      </c>
      <c r="G24" t="str" cm="1">
        <f t="array" ref="G24">INDEX(actions!D:D,actions_us_start!$B24)</f>
        <v>Carriers you control do not need to take part in the damage order of an attack in order for their aircraft to take part in an attack. Carriers are still considered to be attacking, and can still only attack one target per turn.</v>
      </c>
      <c r="H24" t="str" cm="1">
        <f t="array" ref="H24">INDEX(actions!E:E,actions_us_start!$B24)</f>
        <v>Images/refuel.jpg</v>
      </c>
      <c r="I24" t="str" cm="1">
        <f t="array" ref="I24">INDEX(actions!F:F,actions_us_start!$B24)</f>
        <v xml:space="preserve">
</v>
      </c>
      <c r="J24" t="str" cm="1">
        <f t="array" ref="J24">INDEX(actions!G:G,actions_us_start!$B24)</f>
        <v>0.0.1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9DB56-3417-416E-B5DA-79C7D406EE39}">
  <sheetPr codeName="Sheet12"/>
  <dimension ref="A1:J22"/>
  <sheetViews>
    <sheetView zoomScale="115" zoomScaleNormal="115" workbookViewId="0">
      <selection activeCell="D2" sqref="D2"/>
    </sheetView>
  </sheetViews>
  <sheetFormatPr defaultRowHeight="15" x14ac:dyDescent="0.25"/>
  <cols>
    <col min="4" max="4" width="29.5703125" customWidth="1"/>
  </cols>
  <sheetData>
    <row r="1" spans="1:10" x14ac:dyDescent="0.25">
      <c r="A1" t="s">
        <v>4</v>
      </c>
      <c r="B1" t="s">
        <v>117</v>
      </c>
      <c r="C1" t="s">
        <v>116</v>
      </c>
      <c r="D1" t="str">
        <f>actions!A1</f>
        <v>Title</v>
      </c>
      <c r="E1" t="str">
        <f>actions!B1</f>
        <v>Type</v>
      </c>
      <c r="F1" t="str">
        <f>actions!C1</f>
        <v>Roster</v>
      </c>
      <c r="G1" t="str">
        <f>actions!D1</f>
        <v>Description</v>
      </c>
      <c r="H1" t="str">
        <f>actions!E1</f>
        <v>Image</v>
      </c>
      <c r="I1" t="str">
        <f>actions!F1</f>
        <v>FlavorText</v>
      </c>
      <c r="J1" t="str">
        <f>actions!G1</f>
        <v>Version</v>
      </c>
    </row>
    <row r="2" spans="1:10" x14ac:dyDescent="0.25">
      <c r="A2">
        <v>0</v>
      </c>
      <c r="B2">
        <v>15</v>
      </c>
      <c r="C2" t="s">
        <v>175</v>
      </c>
      <c r="D2" t="str" cm="1">
        <f t="array" ref="D2">INDEX(actions!A:A,actions_ru_start!$B2)</f>
        <v>Disinformation Campaigns</v>
      </c>
      <c r="E2" t="str" cm="1">
        <f t="array" ref="E2">INDEX(actions!B:B,actions_ru_start!$B2)</f>
        <v>Tactic</v>
      </c>
      <c r="F2" t="str" cm="1">
        <f t="array" ref="F2">INDEX(actions!C:C,actions_ru_start!$B2)</f>
        <v>RUS</v>
      </c>
      <c r="G2" t="str" cm="1">
        <f t="array" ref="G2">INDEX(actions!D:D,actions_ru_start!$B2)</f>
        <v>Your opponent must discard 5 cards from their deck.</v>
      </c>
      <c r="H2" t="str" cm="1">
        <f t="array" ref="H2">INDEX(actions!E:E,actions_ru_start!$B2)</f>
        <v>Images/disinformation.jpg</v>
      </c>
      <c r="I2" t="str" cm="1">
        <f t="array" ref="I2">INDEX(actions!F:F,actions_ru_start!$B2)</f>
        <v xml:space="preserve">
</v>
      </c>
      <c r="J2" t="str" cm="1">
        <f t="array" ref="J2">INDEX(actions!G:G,actions_ru_start!$B2)</f>
        <v>0.0.1</v>
      </c>
    </row>
    <row r="3" spans="1:10" x14ac:dyDescent="0.25">
      <c r="A3">
        <v>0</v>
      </c>
      <c r="B3">
        <v>15</v>
      </c>
      <c r="C3" t="s">
        <v>177</v>
      </c>
      <c r="D3" t="str" cm="1">
        <f t="array" ref="D3">INDEX(actions!A:A,actions_ru_start!$B3)</f>
        <v>Disinformation Campaigns</v>
      </c>
      <c r="E3" t="str" cm="1">
        <f t="array" ref="E3">INDEX(actions!B:B,actions_ru_start!$B3)</f>
        <v>Tactic</v>
      </c>
      <c r="F3" t="str" cm="1">
        <f t="array" ref="F3">INDEX(actions!C:C,actions_ru_start!$B3)</f>
        <v>RUS</v>
      </c>
      <c r="G3" t="str" cm="1">
        <f t="array" ref="G3">INDEX(actions!D:D,actions_ru_start!$B3)</f>
        <v>Your opponent must discard 5 cards from their deck.</v>
      </c>
      <c r="H3" t="str" cm="1">
        <f t="array" ref="H3">INDEX(actions!E:E,actions_ru_start!$B3)</f>
        <v>Images/disinformation.jpg</v>
      </c>
      <c r="I3" t="str" cm="1">
        <f t="array" ref="I3">INDEX(actions!F:F,actions_ru_start!$B3)</f>
        <v xml:space="preserve">
</v>
      </c>
      <c r="J3" t="str" cm="1">
        <f t="array" ref="J3">INDEX(actions!G:G,actions_ru_start!$B3)</f>
        <v>0.0.1</v>
      </c>
    </row>
    <row r="4" spans="1:10" x14ac:dyDescent="0.25">
      <c r="A4">
        <v>0</v>
      </c>
      <c r="B4">
        <v>15</v>
      </c>
      <c r="C4" t="s">
        <v>302</v>
      </c>
      <c r="D4" t="str" cm="1">
        <f t="array" ref="D4">INDEX(actions!A:A,actions_ru_start!$B4)</f>
        <v>Disinformation Campaigns</v>
      </c>
      <c r="E4" t="str" cm="1">
        <f t="array" ref="E4">INDEX(actions!B:B,actions_ru_start!$B4)</f>
        <v>Tactic</v>
      </c>
      <c r="F4" t="str" cm="1">
        <f t="array" ref="F4">INDEX(actions!C:C,actions_ru_start!$B4)</f>
        <v>RUS</v>
      </c>
      <c r="G4" t="str" cm="1">
        <f t="array" ref="G4">INDEX(actions!D:D,actions_ru_start!$B4)</f>
        <v>Your opponent must discard 5 cards from their deck.</v>
      </c>
      <c r="H4" t="str" cm="1">
        <f t="array" ref="H4">INDEX(actions!E:E,actions_ru_start!$B4)</f>
        <v>Images/disinformation.jpg</v>
      </c>
      <c r="I4" t="str" cm="1">
        <f t="array" ref="I4">INDEX(actions!F:F,actions_ru_start!$B4)</f>
        <v xml:space="preserve">
</v>
      </c>
      <c r="J4" t="str" cm="1">
        <f t="array" ref="J4">INDEX(actions!G:G,actions_ru_start!$B4)</f>
        <v>0.0.1</v>
      </c>
    </row>
    <row r="5" spans="1:10" x14ac:dyDescent="0.25">
      <c r="A5">
        <v>0</v>
      </c>
      <c r="B5">
        <v>15</v>
      </c>
      <c r="C5" t="s">
        <v>303</v>
      </c>
      <c r="D5" t="str" cm="1">
        <f t="array" ref="D5">INDEX(actions!A:A,actions_ru_start!$B5)</f>
        <v>Disinformation Campaigns</v>
      </c>
      <c r="E5" t="str" cm="1">
        <f t="array" ref="E5">INDEX(actions!B:B,actions_ru_start!$B5)</f>
        <v>Tactic</v>
      </c>
      <c r="F5" t="str" cm="1">
        <f t="array" ref="F5">INDEX(actions!C:C,actions_ru_start!$B5)</f>
        <v>RUS</v>
      </c>
      <c r="G5" t="str" cm="1">
        <f t="array" ref="G5">INDEX(actions!D:D,actions_ru_start!$B5)</f>
        <v>Your opponent must discard 5 cards from their deck.</v>
      </c>
      <c r="H5" t="str" cm="1">
        <f t="array" ref="H5">INDEX(actions!E:E,actions_ru_start!$B5)</f>
        <v>Images/disinformation.jpg</v>
      </c>
      <c r="I5" t="str" cm="1">
        <f t="array" ref="I5">INDEX(actions!F:F,actions_ru_start!$B5)</f>
        <v xml:space="preserve">
</v>
      </c>
      <c r="J5" t="str" cm="1">
        <f t="array" ref="J5">INDEX(actions!G:G,actions_ru_start!$B5)</f>
        <v>0.0.1</v>
      </c>
    </row>
    <row r="6" spans="1:10" x14ac:dyDescent="0.25">
      <c r="A6">
        <v>1</v>
      </c>
      <c r="B6">
        <v>22</v>
      </c>
      <c r="C6" t="s">
        <v>175</v>
      </c>
      <c r="D6" t="str" cm="1">
        <f t="array" ref="D6">INDEX(actions!A:A,actions_ru_start!$B6)</f>
        <v>Strategic Flexibility</v>
      </c>
      <c r="E6" t="str" cm="1">
        <f t="array" ref="E6">INDEX(actions!B:B,actions_ru_start!$B6)</f>
        <v>Tactic</v>
      </c>
      <c r="F6" t="str" cm="1">
        <f t="array" ref="F6">INDEX(actions!C:C,actions_ru_start!$B6)</f>
        <v>RUS</v>
      </c>
      <c r="G6" t="str" cm="1">
        <f t="array" ref="G6">INDEX(actions!D:D,actions_ru_start!$B6)</f>
        <v>Search your deck for a strategy card, reveal that card and put it into your hand. Then shuffle your deck.</v>
      </c>
      <c r="H6" t="str" cm="1">
        <f t="array" ref="H6">INDEX(actions!E:E,actions_ru_start!$B6)</f>
        <v>Images/dolls.jpeg</v>
      </c>
      <c r="I6" t="str" cm="1">
        <f t="array" ref="I6">INDEX(actions!F:F,actions_ru_start!$B6)</f>
        <v xml:space="preserve">
</v>
      </c>
      <c r="J6" t="str" cm="1">
        <f t="array" ref="J6">INDEX(actions!G:G,actions_ru_start!$B6)</f>
        <v>0.0.1</v>
      </c>
    </row>
    <row r="7" spans="1:10" x14ac:dyDescent="0.25">
      <c r="A7">
        <v>1</v>
      </c>
      <c r="B7">
        <v>22</v>
      </c>
      <c r="C7" t="s">
        <v>177</v>
      </c>
      <c r="D7" t="str" cm="1">
        <f t="array" ref="D7">INDEX(actions!A:A,actions_ru_start!$B7)</f>
        <v>Strategic Flexibility</v>
      </c>
      <c r="E7" t="str" cm="1">
        <f t="array" ref="E7">INDEX(actions!B:B,actions_ru_start!$B7)</f>
        <v>Tactic</v>
      </c>
      <c r="F7" t="str" cm="1">
        <f t="array" ref="F7">INDEX(actions!C:C,actions_ru_start!$B7)</f>
        <v>RUS</v>
      </c>
      <c r="G7" t="str" cm="1">
        <f t="array" ref="G7">INDEX(actions!D:D,actions_ru_start!$B7)</f>
        <v>Search your deck for a strategy card, reveal that card and put it into your hand. Then shuffle your deck.</v>
      </c>
      <c r="H7" t="str" cm="1">
        <f t="array" ref="H7">INDEX(actions!E:E,actions_ru_start!$B7)</f>
        <v>Images/dolls.jpeg</v>
      </c>
      <c r="I7" t="str" cm="1">
        <f t="array" ref="I7">INDEX(actions!F:F,actions_ru_start!$B7)</f>
        <v xml:space="preserve">
</v>
      </c>
      <c r="J7" t="str" cm="1">
        <f t="array" ref="J7">INDEX(actions!G:G,actions_ru_start!$B7)</f>
        <v>0.0.1</v>
      </c>
    </row>
    <row r="8" spans="1:10" x14ac:dyDescent="0.25">
      <c r="A8">
        <v>1</v>
      </c>
      <c r="B8">
        <v>21</v>
      </c>
      <c r="C8" t="s">
        <v>175</v>
      </c>
      <c r="D8" t="str" cm="1">
        <f t="array" ref="D8">INDEX(actions!A:A,actions_ru_start!$B8)</f>
        <v>Counter-Espionage</v>
      </c>
      <c r="E8" t="str" cm="1">
        <f t="array" ref="E8">INDEX(actions!B:B,actions_ru_start!$B8)</f>
        <v>Tactic</v>
      </c>
      <c r="F8" t="str" cm="1">
        <f t="array" ref="F8">INDEX(actions!C:C,actions_ru_start!$B8)</f>
        <v>RUS</v>
      </c>
      <c r="G8" t="str" cm="1">
        <f t="array" ref="G8">INDEX(actions!D:D,actions_ru_start!$B8)</f>
        <v>Ignore the effects of a tactic card.</v>
      </c>
      <c r="H8" t="str" cm="1">
        <f t="array" ref="H8">INDEX(actions!E:E,actions_ru_start!$B8)</f>
        <v>Images/putingun.jpg</v>
      </c>
      <c r="I8" t="str" cm="1">
        <f t="array" ref="I8">INDEX(actions!F:F,actions_ru_start!$B8)</f>
        <v xml:space="preserve">
</v>
      </c>
      <c r="J8" t="str" cm="1">
        <f t="array" ref="J8">INDEX(actions!G:G,actions_ru_start!$B8)</f>
        <v>0.0.1</v>
      </c>
    </row>
    <row r="9" spans="1:10" x14ac:dyDescent="0.25">
      <c r="A9">
        <v>1</v>
      </c>
      <c r="B9">
        <v>21</v>
      </c>
      <c r="C9" t="s">
        <v>177</v>
      </c>
      <c r="D9" t="str" cm="1">
        <f t="array" ref="D9">INDEX(actions!A:A,actions_ru_start!$B9)</f>
        <v>Counter-Espionage</v>
      </c>
      <c r="E9" t="str" cm="1">
        <f t="array" ref="E9">INDEX(actions!B:B,actions_ru_start!$B9)</f>
        <v>Tactic</v>
      </c>
      <c r="F9" t="str" cm="1">
        <f t="array" ref="F9">INDEX(actions!C:C,actions_ru_start!$B9)</f>
        <v>RUS</v>
      </c>
      <c r="G9" t="str" cm="1">
        <f t="array" ref="G9">INDEX(actions!D:D,actions_ru_start!$B9)</f>
        <v>Ignore the effects of a tactic card.</v>
      </c>
      <c r="H9" t="str" cm="1">
        <f t="array" ref="H9">INDEX(actions!E:E,actions_ru_start!$B9)</f>
        <v>Images/putingun.jpg</v>
      </c>
      <c r="I9" t="str" cm="1">
        <f t="array" ref="I9">INDEX(actions!F:F,actions_ru_start!$B9)</f>
        <v xml:space="preserve">
</v>
      </c>
      <c r="J9" t="str" cm="1">
        <f t="array" ref="J9">INDEX(actions!G:G,actions_ru_start!$B9)</f>
        <v>0.0.1</v>
      </c>
    </row>
    <row r="10" spans="1:10" x14ac:dyDescent="0.25">
      <c r="A10">
        <v>0</v>
      </c>
      <c r="B10">
        <v>21</v>
      </c>
      <c r="C10" t="s">
        <v>302</v>
      </c>
      <c r="D10" t="str" cm="1">
        <f t="array" ref="D10">INDEX(actions!A:A,actions_ru_start!$B10)</f>
        <v>Counter-Espionage</v>
      </c>
      <c r="E10" t="str" cm="1">
        <f t="array" ref="E10">INDEX(actions!B:B,actions_ru_start!$B10)</f>
        <v>Tactic</v>
      </c>
      <c r="F10" t="str" cm="1">
        <f t="array" ref="F10">INDEX(actions!C:C,actions_ru_start!$B10)</f>
        <v>RUS</v>
      </c>
      <c r="G10" t="str" cm="1">
        <f t="array" ref="G10">INDEX(actions!D:D,actions_ru_start!$B10)</f>
        <v>Ignore the effects of a tactic card.</v>
      </c>
      <c r="H10" t="str" cm="1">
        <f t="array" ref="H10">INDEX(actions!E:E,actions_ru_start!$B10)</f>
        <v>Images/putingun.jpg</v>
      </c>
      <c r="I10" t="str" cm="1">
        <f t="array" ref="I10">INDEX(actions!F:F,actions_ru_start!$B10)</f>
        <v xml:space="preserve">
</v>
      </c>
      <c r="J10" t="str" cm="1">
        <f t="array" ref="J10">INDEX(actions!G:G,actions_ru_start!$B10)</f>
        <v>0.0.1</v>
      </c>
    </row>
    <row r="11" spans="1:10" x14ac:dyDescent="0.25">
      <c r="A11">
        <v>0</v>
      </c>
      <c r="B11">
        <v>18</v>
      </c>
      <c r="C11" t="s">
        <v>175</v>
      </c>
      <c r="D11" t="str" cm="1">
        <f t="array" ref="D11">INDEX(actions!A:A,actions_ru_start!$B11)</f>
        <v>Scorched Earth</v>
      </c>
      <c r="E11" t="str" cm="1">
        <f t="array" ref="E11">INDEX(actions!B:B,actions_ru_start!$B11)</f>
        <v>Tactic</v>
      </c>
      <c r="F11" t="str" cm="1">
        <f t="array" ref="F11">INDEX(actions!C:C,actions_ru_start!$B11)</f>
        <v>RUS</v>
      </c>
      <c r="G11" t="str" cm="1">
        <f t="array" ref="G11">INDEX(actions!D:D,actions_ru_start!$B11)</f>
        <v>Destroy one territory belonging to your opponent that is under your control.</v>
      </c>
      <c r="H11" t="str" cm="1">
        <f t="array" ref="H11">INDEX(actions!E:E,actions_ru_start!$B11)</f>
        <v>Images/scorched.jpg</v>
      </c>
      <c r="I11" t="str" cm="1">
        <f t="array" ref="I11">INDEX(actions!F:F,actions_ru_start!$B11)</f>
        <v xml:space="preserve">
</v>
      </c>
      <c r="J11" t="str" cm="1">
        <f t="array" ref="J11">INDEX(actions!G:G,actions_ru_start!$B11)</f>
        <v>0.0.1</v>
      </c>
    </row>
    <row r="12" spans="1:10" x14ac:dyDescent="0.25">
      <c r="A12">
        <v>0</v>
      </c>
      <c r="B12">
        <v>18</v>
      </c>
      <c r="C12" t="s">
        <v>177</v>
      </c>
      <c r="D12" t="str" cm="1">
        <f t="array" ref="D12">INDEX(actions!A:A,actions_ru_start!$B12)</f>
        <v>Scorched Earth</v>
      </c>
      <c r="E12" t="str" cm="1">
        <f t="array" ref="E12">INDEX(actions!B:B,actions_ru_start!$B12)</f>
        <v>Tactic</v>
      </c>
      <c r="F12" t="str" cm="1">
        <f t="array" ref="F12">INDEX(actions!C:C,actions_ru_start!$B12)</f>
        <v>RUS</v>
      </c>
      <c r="G12" t="str" cm="1">
        <f t="array" ref="G12">INDEX(actions!D:D,actions_ru_start!$B12)</f>
        <v>Destroy one territory belonging to your opponent that is under your control.</v>
      </c>
      <c r="H12" t="str" cm="1">
        <f t="array" ref="H12">INDEX(actions!E:E,actions_ru_start!$B12)</f>
        <v>Images/scorched.jpg</v>
      </c>
      <c r="I12" t="str" cm="1">
        <f t="array" ref="I12">INDEX(actions!F:F,actions_ru_start!$B12)</f>
        <v xml:space="preserve">
</v>
      </c>
      <c r="J12" t="str" cm="1">
        <f t="array" ref="J12">INDEX(actions!G:G,actions_ru_start!$B12)</f>
        <v>0.0.1</v>
      </c>
    </row>
    <row r="13" spans="1:10" x14ac:dyDescent="0.25">
      <c r="A13">
        <v>0</v>
      </c>
      <c r="B13">
        <v>28</v>
      </c>
      <c r="C13" t="s">
        <v>175</v>
      </c>
      <c r="D13" t="str" cm="1">
        <f t="array" ref="D13">INDEX(actions!A:A,actions_ru_start!$B13)</f>
        <v>Rapid Mobilization</v>
      </c>
      <c r="E13" t="str" cm="1">
        <f t="array" ref="E13">INDEX(actions!B:B,actions_ru_start!$B13)</f>
        <v>Tactic</v>
      </c>
      <c r="F13" t="str" cm="1">
        <f t="array" ref="F13">INDEX(actions!C:C,actions_ru_start!$B13)</f>
        <v>RUS</v>
      </c>
      <c r="G13" t="str" cm="1">
        <f t="array" ref="G13">INDEX(actions!D:D,actions_ru_start!$B13)</f>
        <v>Search your library for military asset cards whose combined logistics is equal to or less than 4, put those cards into your hand, then shuffle your library.</v>
      </c>
      <c r="H13" t="str" cm="1">
        <f t="array" ref="H13">INDEX(actions!E:E,actions_ru_start!$B13)</f>
        <v>Images/mobilization.jpg</v>
      </c>
      <c r="I13" t="str" cm="1">
        <f t="array" ref="I13">INDEX(actions!F:F,actions_ru_start!$B13)</f>
        <v xml:space="preserve">
</v>
      </c>
      <c r="J13" t="str" cm="1">
        <f t="array" ref="J13">INDEX(actions!G:G,actions_ru_start!$B13)</f>
        <v>0.0.1</v>
      </c>
    </row>
    <row r="14" spans="1:10" x14ac:dyDescent="0.25">
      <c r="A14">
        <v>1</v>
      </c>
      <c r="B14">
        <v>28</v>
      </c>
      <c r="C14" t="s">
        <v>177</v>
      </c>
      <c r="D14" t="str" cm="1">
        <f t="array" ref="D14">INDEX(actions!A:A,actions_ru_start!$B14)</f>
        <v>Rapid Mobilization</v>
      </c>
      <c r="E14" t="str" cm="1">
        <f t="array" ref="E14">INDEX(actions!B:B,actions_ru_start!$B14)</f>
        <v>Tactic</v>
      </c>
      <c r="F14" t="str" cm="1">
        <f t="array" ref="F14">INDEX(actions!C:C,actions_ru_start!$B14)</f>
        <v>RUS</v>
      </c>
      <c r="G14" t="str" cm="1">
        <f t="array" ref="G14">INDEX(actions!D:D,actions_ru_start!$B14)</f>
        <v>Search your library for military asset cards whose combined logistics is equal to or less than 4, put those cards into your hand, then shuffle your library.</v>
      </c>
      <c r="H14" t="str" cm="1">
        <f t="array" ref="H14">INDEX(actions!E:E,actions_ru_start!$B14)</f>
        <v>Images/mobilization.jpg</v>
      </c>
      <c r="I14" t="str" cm="1">
        <f t="array" ref="I14">INDEX(actions!F:F,actions_ru_start!$B14)</f>
        <v xml:space="preserve">
</v>
      </c>
      <c r="J14" t="str" cm="1">
        <f t="array" ref="J14">INDEX(actions!G:G,actions_ru_start!$B14)</f>
        <v>0.0.1</v>
      </c>
    </row>
    <row r="15" spans="1:10" x14ac:dyDescent="0.25">
      <c r="A15">
        <v>0</v>
      </c>
      <c r="B15">
        <v>13</v>
      </c>
      <c r="C15" t="s">
        <v>176</v>
      </c>
      <c r="D15" t="str" cm="1">
        <f t="array" ref="D15">INDEX(actions!A:A,actions_ru_start!$B15)</f>
        <v>The Long Winter</v>
      </c>
      <c r="E15" t="str" cm="1">
        <f t="array" ref="E15">INDEX(actions!B:B,actions_ru_start!$B15)</f>
        <v>Strategy</v>
      </c>
      <c r="F15" t="str" cm="1">
        <f t="array" ref="F15">INDEX(actions!C:C,actions_ru_start!$B15)</f>
        <v>RUS</v>
      </c>
      <c r="G15" t="str" cm="1">
        <f t="array" ref="G15">INDEX(actions!D:D,actions_ru_start!$B15)</f>
        <v>Both players must discard 2 cards from their deck at the end of each turn.</v>
      </c>
      <c r="H15" t="str" cm="1">
        <f t="array" ref="H15">INDEX(actions!E:E,actions_ru_start!$B15)</f>
        <v>Images/winter.jpg</v>
      </c>
      <c r="I15" t="str" cm="1">
        <f t="array" ref="I15">INDEX(actions!F:F,actions_ru_start!$B15)</f>
        <v xml:space="preserve">
</v>
      </c>
      <c r="J15" t="str" cm="1">
        <f t="array" ref="J15">INDEX(actions!G:G,actions_ru_start!$B15)</f>
        <v>0.0.1</v>
      </c>
    </row>
    <row r="16" spans="1:10" x14ac:dyDescent="0.25">
      <c r="A16">
        <v>1</v>
      </c>
      <c r="B16">
        <v>13</v>
      </c>
      <c r="C16" t="s">
        <v>304</v>
      </c>
      <c r="D16" t="str" cm="1">
        <f t="array" ref="D16">INDEX(actions!A:A,actions_ru_start!$B16)</f>
        <v>The Long Winter</v>
      </c>
      <c r="E16" t="str" cm="1">
        <f t="array" ref="E16">INDEX(actions!B:B,actions_ru_start!$B16)</f>
        <v>Strategy</v>
      </c>
      <c r="F16" t="str" cm="1">
        <f t="array" ref="F16">INDEX(actions!C:C,actions_ru_start!$B16)</f>
        <v>RUS</v>
      </c>
      <c r="G16" t="str" cm="1">
        <f t="array" ref="G16">INDEX(actions!D:D,actions_ru_start!$B16)</f>
        <v>Both players must discard 2 cards from their deck at the end of each turn.</v>
      </c>
      <c r="H16" t="str" cm="1">
        <f t="array" ref="H16">INDEX(actions!E:E,actions_ru_start!$B16)</f>
        <v>Images/winter.jpg</v>
      </c>
      <c r="I16" t="str" cm="1">
        <f t="array" ref="I16">INDEX(actions!F:F,actions_ru_start!$B16)</f>
        <v xml:space="preserve">
</v>
      </c>
      <c r="J16" t="str" cm="1">
        <f t="array" ref="J16">INDEX(actions!G:G,actions_ru_start!$B16)</f>
        <v>0.0.1</v>
      </c>
    </row>
    <row r="17" spans="1:10" x14ac:dyDescent="0.25">
      <c r="A17">
        <v>0</v>
      </c>
      <c r="B17">
        <v>14</v>
      </c>
      <c r="C17" t="s">
        <v>176</v>
      </c>
      <c r="D17" t="str" cm="1">
        <f t="array" ref="D17">INDEX(actions!A:A,actions_ru_start!$B17)</f>
        <v>State-Controlled Media</v>
      </c>
      <c r="E17" t="str" cm="1">
        <f t="array" ref="E17">INDEX(actions!B:B,actions_ru_start!$B17)</f>
        <v>Strategy</v>
      </c>
      <c r="F17" t="str" cm="1">
        <f t="array" ref="F17">INDEX(actions!C:C,actions_ru_start!$B17)</f>
        <v>RUS</v>
      </c>
      <c r="G17" t="str" cm="1">
        <f t="array" ref="G17">INDEX(actions!D:D,actions_ru_start!$B17)</f>
        <v>Whenever you destroy a ship of logistics cost 3 or greater, you may look at the top card of your deck and may choose to put it on the bottom of your deck.</v>
      </c>
      <c r="H17" t="str" cm="1">
        <f t="array" ref="H17">INDEX(actions!E:E,actions_ru_start!$B17)</f>
        <v>Images/statemedia.jpg</v>
      </c>
      <c r="I17" t="str" cm="1">
        <f t="array" ref="I17">INDEX(actions!F:F,actions_ru_start!$B17)</f>
        <v xml:space="preserve">
</v>
      </c>
      <c r="J17" t="str" cm="1">
        <f t="array" ref="J17">INDEX(actions!G:G,actions_ru_start!$B17)</f>
        <v>0.0.1</v>
      </c>
    </row>
    <row r="18" spans="1:10" x14ac:dyDescent="0.25">
      <c r="A18">
        <v>1</v>
      </c>
      <c r="B18">
        <v>14</v>
      </c>
      <c r="C18" t="s">
        <v>304</v>
      </c>
      <c r="D18" t="str" cm="1">
        <f t="array" ref="D18">INDEX(actions!A:A,actions_ru_start!$B18)</f>
        <v>State-Controlled Media</v>
      </c>
      <c r="E18" t="str" cm="1">
        <f t="array" ref="E18">INDEX(actions!B:B,actions_ru_start!$B18)</f>
        <v>Strategy</v>
      </c>
      <c r="F18" t="str" cm="1">
        <f t="array" ref="F18">INDEX(actions!C:C,actions_ru_start!$B18)</f>
        <v>RUS</v>
      </c>
      <c r="G18" t="str" cm="1">
        <f t="array" ref="G18">INDEX(actions!D:D,actions_ru_start!$B18)</f>
        <v>Whenever you destroy a ship of logistics cost 3 or greater, you may look at the top card of your deck and may choose to put it on the bottom of your deck.</v>
      </c>
      <c r="H18" t="str" cm="1">
        <f t="array" ref="H18">INDEX(actions!E:E,actions_ru_start!$B18)</f>
        <v>Images/statemedia.jpg</v>
      </c>
      <c r="I18" t="str" cm="1">
        <f t="array" ref="I18">INDEX(actions!F:F,actions_ru_start!$B18)</f>
        <v xml:space="preserve">
</v>
      </c>
      <c r="J18" t="str" cm="1">
        <f t="array" ref="J18">INDEX(actions!G:G,actions_ru_start!$B18)</f>
        <v>0.0.1</v>
      </c>
    </row>
    <row r="19" spans="1:10" x14ac:dyDescent="0.25">
      <c r="A19">
        <v>0</v>
      </c>
      <c r="B19">
        <v>17</v>
      </c>
      <c r="C19" t="s">
        <v>176</v>
      </c>
      <c r="D19" t="str" cm="1">
        <f t="array" ref="D19">INDEX(actions!A:A,actions_ru_start!$B19)</f>
        <v>The Russians Used a Pencil</v>
      </c>
      <c r="E19" t="str" cm="1">
        <f t="array" ref="E19">INDEX(actions!B:B,actions_ru_start!$B19)</f>
        <v>Strategy</v>
      </c>
      <c r="F19" t="str" cm="1">
        <f t="array" ref="F19">INDEX(actions!C:C,actions_ru_start!$B19)</f>
        <v>RUS</v>
      </c>
      <c r="G19" t="str" cm="1">
        <f t="array" ref="G19">INDEX(actions!D:D,actions_ru_start!$B19)</f>
        <v>Each military asset you control requires 1 less logistics, with a minimum of 1 per military asset.</v>
      </c>
      <c r="H19" t="str" cm="1">
        <f t="array" ref="H19">INDEX(actions!E:E,actions_ru_start!$B19)</f>
        <v>Images/sputnik.jpg</v>
      </c>
      <c r="I19" t="str" cm="1">
        <f t="array" ref="I19">INDEX(actions!F:F,actions_ru_start!$B19)</f>
        <v xml:space="preserve">
</v>
      </c>
      <c r="J19" t="str" cm="1">
        <f t="array" ref="J19">INDEX(actions!G:G,actions_ru_start!$B19)</f>
        <v>0.0.1</v>
      </c>
    </row>
    <row r="20" spans="1:10" x14ac:dyDescent="0.25">
      <c r="A20">
        <v>1</v>
      </c>
      <c r="B20">
        <v>17</v>
      </c>
      <c r="C20" t="s">
        <v>304</v>
      </c>
      <c r="D20" t="str" cm="1">
        <f t="array" ref="D20">INDEX(actions!A:A,actions_ru_start!$B20)</f>
        <v>The Russians Used a Pencil</v>
      </c>
      <c r="E20" t="str" cm="1">
        <f t="array" ref="E20">INDEX(actions!B:B,actions_ru_start!$B20)</f>
        <v>Strategy</v>
      </c>
      <c r="F20" t="str" cm="1">
        <f t="array" ref="F20">INDEX(actions!C:C,actions_ru_start!$B20)</f>
        <v>RUS</v>
      </c>
      <c r="G20" t="str" cm="1">
        <f t="array" ref="G20">INDEX(actions!D:D,actions_ru_start!$B20)</f>
        <v>Each military asset you control requires 1 less logistics, with a minimum of 1 per military asset.</v>
      </c>
      <c r="H20" t="str" cm="1">
        <f t="array" ref="H20">INDEX(actions!E:E,actions_ru_start!$B20)</f>
        <v>Images/sputnik.jpg</v>
      </c>
      <c r="I20" t="str" cm="1">
        <f t="array" ref="I20">INDEX(actions!F:F,actions_ru_start!$B20)</f>
        <v xml:space="preserve">
</v>
      </c>
      <c r="J20" t="str" cm="1">
        <f t="array" ref="J20">INDEX(actions!G:G,actions_ru_start!$B20)</f>
        <v>0.0.1</v>
      </c>
    </row>
    <row r="21" spans="1:10" x14ac:dyDescent="0.25">
      <c r="A21">
        <v>0</v>
      </c>
      <c r="B21">
        <v>27</v>
      </c>
      <c r="C21" t="s">
        <v>176</v>
      </c>
      <c r="D21" t="str" cm="1">
        <f t="array" ref="D21">INDEX(actions!A:A,actions_ru_start!$B21)</f>
        <v>Strategic Destabilization</v>
      </c>
      <c r="E21" t="str" cm="1">
        <f t="array" ref="E21">INDEX(actions!B:B,actions_ru_start!$B21)</f>
        <v>Strategy</v>
      </c>
      <c r="F21" t="str" cm="1">
        <f t="array" ref="F21">INDEX(actions!C:C,actions_ru_start!$B21)</f>
        <v>RUS</v>
      </c>
      <c r="G21" t="str" cm="1">
        <f t="array" ref="G21">INDEX(actions!D:D,actions_ru_start!$B21)</f>
        <v>Your opponents territories provide 1 less logistics.</v>
      </c>
      <c r="H21" t="str" cm="1">
        <f t="array" ref="H21">INDEX(actions!E:E,actions_ru_start!$B21)</f>
        <v>Images/electricgrid.jpg</v>
      </c>
      <c r="I21" t="str" cm="1">
        <f t="array" ref="I21">INDEX(actions!F:F,actions_ru_start!$B21)</f>
        <v xml:space="preserve">
</v>
      </c>
      <c r="J21" t="str" cm="1">
        <f t="array" ref="J21">INDEX(actions!G:G,actions_ru_start!$B21)</f>
        <v>0.0.1</v>
      </c>
    </row>
    <row r="22" spans="1:10" x14ac:dyDescent="0.25">
      <c r="A22">
        <v>1</v>
      </c>
      <c r="B22">
        <v>27</v>
      </c>
      <c r="C22" t="s">
        <v>304</v>
      </c>
      <c r="D22" t="str" cm="1">
        <f t="array" ref="D22">INDEX(actions!A:A,actions_ru_start!$B22)</f>
        <v>Strategic Destabilization</v>
      </c>
      <c r="E22" t="str" cm="1">
        <f t="array" ref="E22">INDEX(actions!B:B,actions_ru_start!$B22)</f>
        <v>Strategy</v>
      </c>
      <c r="F22" t="str" cm="1">
        <f t="array" ref="F22">INDEX(actions!C:C,actions_ru_start!$B22)</f>
        <v>RUS</v>
      </c>
      <c r="G22" t="str" cm="1">
        <f t="array" ref="G22">INDEX(actions!D:D,actions_ru_start!$B22)</f>
        <v>Your opponents territories provide 1 less logistics.</v>
      </c>
      <c r="H22" t="str" cm="1">
        <f t="array" ref="H22">INDEX(actions!E:E,actions_ru_start!$B22)</f>
        <v>Images/electricgrid.jpg</v>
      </c>
      <c r="I22" t="str" cm="1">
        <f t="array" ref="I22">INDEX(actions!F:F,actions_ru_start!$B22)</f>
        <v xml:space="preserve">
</v>
      </c>
      <c r="J22" t="str" cm="1">
        <f t="array" ref="J22">INDEX(actions!G:G,actions_ru_start!$B22)</f>
        <v>0.0.1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E6CF3-4EBD-487B-97A9-CA2056DBDEFF}">
  <sheetPr codeName="Sheet13"/>
  <dimension ref="A1:K25"/>
  <sheetViews>
    <sheetView workbookViewId="0">
      <selection activeCell="D2" sqref="D2"/>
    </sheetView>
  </sheetViews>
  <sheetFormatPr defaultRowHeight="15" x14ac:dyDescent="0.25"/>
  <cols>
    <col min="1" max="1" width="14.28515625" customWidth="1"/>
    <col min="3" max="3" width="46.28515625" customWidth="1"/>
    <col min="4" max="4" width="60.85546875" customWidth="1"/>
    <col min="7" max="7" width="17.140625" customWidth="1"/>
  </cols>
  <sheetData>
    <row r="1" spans="1:11" x14ac:dyDescent="0.25">
      <c r="A1" t="s">
        <v>4</v>
      </c>
      <c r="B1" t="s">
        <v>117</v>
      </c>
      <c r="C1" t="s">
        <v>116</v>
      </c>
      <c r="D1" t="str">
        <f>territories!A1</f>
        <v>Title</v>
      </c>
      <c r="E1" t="str">
        <f>territories!B1</f>
        <v>LogisticsCapacity</v>
      </c>
      <c r="F1" t="str">
        <f>territories!C1</f>
        <v>ShoreDefense</v>
      </c>
      <c r="G1" t="str">
        <f>territories!D1</f>
        <v>Description</v>
      </c>
      <c r="H1" t="str">
        <f>territories!E1</f>
        <v>Roster</v>
      </c>
      <c r="I1" t="str">
        <f>territories!F1</f>
        <v>FlavorText</v>
      </c>
      <c r="J1" t="str">
        <f>territories!G1</f>
        <v>Image</v>
      </c>
      <c r="K1" t="str">
        <f>territories!H1</f>
        <v>Version</v>
      </c>
    </row>
    <row r="2" spans="1:11" x14ac:dyDescent="0.25">
      <c r="A2">
        <v>1</v>
      </c>
      <c r="B2">
        <v>2</v>
      </c>
      <c r="C2" t="s">
        <v>28</v>
      </c>
      <c r="D2" t="str" cm="1">
        <f t="array" ref="D2">INDEX(territories!A:A,territories_all!$B2)</f>
        <v>US Naval Base</v>
      </c>
      <c r="E2" cm="1">
        <f t="array" ref="E2">INDEX(territories!B:B,territories_all!$B2)</f>
        <v>6</v>
      </c>
      <c r="F2" cm="1">
        <f t="array" ref="F2">INDEX(territories!C:C,territories_all!$B2)</f>
        <v>2</v>
      </c>
      <c r="G2" t="str" cm="1">
        <f t="array" ref="G2">INDEX(territories!D:D,territories_all!$B2)</f>
        <v xml:space="preserve">
</v>
      </c>
      <c r="H2" t="str" cm="1">
        <f t="array" ref="H2">INDEX(territories!E:E,territories_all!$B2)</f>
        <v>USN</v>
      </c>
      <c r="I2" t="str" cm="1">
        <f t="array" ref="I2">INDEX(territories!F:F,territories_all!$B2)</f>
        <v xml:space="preserve">
</v>
      </c>
      <c r="J2" t="str" cm="1">
        <f t="array" ref="J2">INDEX(territories!G:G,territories_all!$B2)</f>
        <v>Images/navalbase.jpg</v>
      </c>
      <c r="K2" t="str" cm="1">
        <f t="array" ref="K2">INDEX(territories!H:H,territories_all!$B2)</f>
        <v>0.0.1</v>
      </c>
    </row>
    <row r="3" spans="1:11" x14ac:dyDescent="0.25">
      <c r="A3">
        <v>1</v>
      </c>
      <c r="B3">
        <v>4</v>
      </c>
      <c r="C3" t="s">
        <v>29</v>
      </c>
      <c r="D3" t="str" cm="1">
        <f t="array" ref="D3">INDEX(territories!A:A,territories_all!$B3)</f>
        <v>Joint Base Pearl Harbor</v>
      </c>
      <c r="E3" cm="1">
        <f t="array" ref="E3">INDEX(territories!B:B,territories_all!$B3)</f>
        <v>5</v>
      </c>
      <c r="F3" cm="1">
        <f t="array" ref="F3">INDEX(territories!C:C,territories_all!$B3)</f>
        <v>4</v>
      </c>
      <c r="G3" t="str" cm="1">
        <f t="array" ref="G3">INDEX(territories!D:D,territories_all!$B3)</f>
        <v>Grants 2 logistics capacity to the USN player if controlled by their opponent.</v>
      </c>
      <c r="H3" t="str" cm="1">
        <f t="array" ref="H3">INDEX(territories!E:E,territories_all!$B3)</f>
        <v>USN</v>
      </c>
      <c r="I3" t="str" cm="1">
        <f t="array" ref="I3">INDEX(territories!F:F,territories_all!$B3)</f>
        <v>"I believe that I interpret the will of the Congress and of the people when I assert that we will not only defend ourselves to the uttermost, but will make it very certain that this form of treachery shall never again endanger us." - FDR</v>
      </c>
      <c r="J3" t="str" cm="1">
        <f t="array" ref="J3">INDEX(territories!G:G,territories_all!$B3)</f>
        <v>Images/pearlharbor.jpg</v>
      </c>
      <c r="K3" t="str" cm="1">
        <f t="array" ref="K3">INDEX(territories!H:H,territories_all!$B3)</f>
        <v>0.0.1</v>
      </c>
    </row>
    <row r="4" spans="1:11" x14ac:dyDescent="0.25">
      <c r="A4">
        <v>1</v>
      </c>
      <c r="B4">
        <v>2</v>
      </c>
      <c r="C4" t="s">
        <v>30</v>
      </c>
      <c r="D4" t="str" cm="1">
        <f t="array" ref="D4">INDEX(territories!A:A,territories_all!$B4)</f>
        <v>US Naval Base</v>
      </c>
      <c r="E4" cm="1">
        <f t="array" ref="E4">INDEX(territories!B:B,territories_all!$B4)</f>
        <v>6</v>
      </c>
      <c r="F4" cm="1">
        <f t="array" ref="F4">INDEX(territories!C:C,territories_all!$B4)</f>
        <v>2</v>
      </c>
      <c r="G4" t="str" cm="1">
        <f t="array" ref="G4">INDEX(territories!D:D,territories_all!$B4)</f>
        <v xml:space="preserve">
</v>
      </c>
      <c r="H4" t="str" cm="1">
        <f t="array" ref="H4">INDEX(territories!E:E,territories_all!$B4)</f>
        <v>USN</v>
      </c>
      <c r="I4" t="str" cm="1">
        <f t="array" ref="I4">INDEX(territories!F:F,territories_all!$B4)</f>
        <v xml:space="preserve">
</v>
      </c>
      <c r="J4" t="str" cm="1">
        <f t="array" ref="J4">INDEX(territories!G:G,territories_all!$B4)</f>
        <v>Images/navalbase.jpg</v>
      </c>
      <c r="K4" t="str" cm="1">
        <f t="array" ref="K4">INDEX(territories!H:H,territories_all!$B4)</f>
        <v>0.0.1</v>
      </c>
    </row>
    <row r="5" spans="1:11" x14ac:dyDescent="0.25">
      <c r="A5">
        <v>1</v>
      </c>
      <c r="B5">
        <v>2</v>
      </c>
      <c r="C5" t="s">
        <v>31</v>
      </c>
      <c r="D5" t="str" cm="1">
        <f t="array" ref="D5">INDEX(territories!A:A,territories_all!$B5)</f>
        <v>US Naval Base</v>
      </c>
      <c r="E5" cm="1">
        <f t="array" ref="E5">INDEX(territories!B:B,territories_all!$B5)</f>
        <v>6</v>
      </c>
      <c r="F5" cm="1">
        <f t="array" ref="F5">INDEX(territories!C:C,territories_all!$B5)</f>
        <v>2</v>
      </c>
      <c r="G5" t="str" cm="1">
        <f t="array" ref="G5">INDEX(territories!D:D,territories_all!$B5)</f>
        <v xml:space="preserve">
</v>
      </c>
      <c r="H5" t="str" cm="1">
        <f t="array" ref="H5">INDEX(territories!E:E,territories_all!$B5)</f>
        <v>USN</v>
      </c>
      <c r="I5" t="str" cm="1">
        <f t="array" ref="I5">INDEX(territories!F:F,territories_all!$B5)</f>
        <v xml:space="preserve">
</v>
      </c>
      <c r="J5" t="str" cm="1">
        <f t="array" ref="J5">INDEX(territories!G:G,territories_all!$B5)</f>
        <v>Images/navalbase.jpg</v>
      </c>
      <c r="K5" t="str" cm="1">
        <f t="array" ref="K5">INDEX(territories!H:H,territories_all!$B5)</f>
        <v>0.0.1</v>
      </c>
    </row>
    <row r="6" spans="1:11" x14ac:dyDescent="0.25">
      <c r="A6">
        <v>1</v>
      </c>
      <c r="B6">
        <v>2</v>
      </c>
      <c r="C6" t="s">
        <v>32</v>
      </c>
      <c r="D6" t="str" cm="1">
        <f t="array" ref="D6">INDEX(territories!A:A,territories_all!$B6)</f>
        <v>US Naval Base</v>
      </c>
      <c r="E6" cm="1">
        <f t="array" ref="E6">INDEX(territories!B:B,territories_all!$B6)</f>
        <v>6</v>
      </c>
      <c r="F6" cm="1">
        <f t="array" ref="F6">INDEX(territories!C:C,territories_all!$B6)</f>
        <v>2</v>
      </c>
      <c r="G6" t="str" cm="1">
        <f t="array" ref="G6">INDEX(territories!D:D,territories_all!$B6)</f>
        <v xml:space="preserve">
</v>
      </c>
      <c r="H6" t="str" cm="1">
        <f t="array" ref="H6">INDEX(territories!E:E,territories_all!$B6)</f>
        <v>USN</v>
      </c>
      <c r="I6" t="str" cm="1">
        <f t="array" ref="I6">INDEX(territories!F:F,territories_all!$B6)</f>
        <v xml:space="preserve">
</v>
      </c>
      <c r="J6" t="str" cm="1">
        <f t="array" ref="J6">INDEX(territories!G:G,territories_all!$B6)</f>
        <v>Images/navalbase.jpg</v>
      </c>
      <c r="K6" t="str" cm="1">
        <f t="array" ref="K6">INDEX(territories!H:H,territories_all!$B6)</f>
        <v>0.0.1</v>
      </c>
    </row>
    <row r="7" spans="1:11" x14ac:dyDescent="0.25">
      <c r="A7">
        <v>1</v>
      </c>
      <c r="B7">
        <v>2</v>
      </c>
      <c r="C7" t="s">
        <v>33</v>
      </c>
      <c r="D7" t="str" cm="1">
        <f t="array" ref="D7">INDEX(territories!A:A,territories_all!$B7)</f>
        <v>US Naval Base</v>
      </c>
      <c r="E7" cm="1">
        <f t="array" ref="E7">INDEX(territories!B:B,territories_all!$B7)</f>
        <v>6</v>
      </c>
      <c r="F7" cm="1">
        <f t="array" ref="F7">INDEX(territories!C:C,territories_all!$B7)</f>
        <v>2</v>
      </c>
      <c r="G7" t="str" cm="1">
        <f t="array" ref="G7">INDEX(territories!D:D,territories_all!$B7)</f>
        <v xml:space="preserve">
</v>
      </c>
      <c r="H7" t="str" cm="1">
        <f t="array" ref="H7">INDEX(territories!E:E,territories_all!$B7)</f>
        <v>USN</v>
      </c>
      <c r="I7" t="str" cm="1">
        <f t="array" ref="I7">INDEX(territories!F:F,territories_all!$B7)</f>
        <v xml:space="preserve">
</v>
      </c>
      <c r="J7" t="str" cm="1">
        <f t="array" ref="J7">INDEX(territories!G:G,territories_all!$B7)</f>
        <v>Images/navalbase.jpg</v>
      </c>
      <c r="K7" t="str" cm="1">
        <f t="array" ref="K7">INDEX(territories!H:H,territories_all!$B7)</f>
        <v>0.0.1</v>
      </c>
    </row>
    <row r="8" spans="1:11" x14ac:dyDescent="0.25">
      <c r="A8">
        <v>1</v>
      </c>
      <c r="B8">
        <v>2</v>
      </c>
      <c r="C8" t="s">
        <v>34</v>
      </c>
      <c r="D8" t="str" cm="1">
        <f t="array" ref="D8">INDEX(territories!A:A,territories_all!$B8)</f>
        <v>US Naval Base</v>
      </c>
      <c r="E8" cm="1">
        <f t="array" ref="E8">INDEX(territories!B:B,territories_all!$B8)</f>
        <v>6</v>
      </c>
      <c r="F8" cm="1">
        <f t="array" ref="F8">INDEX(territories!C:C,territories_all!$B8)</f>
        <v>2</v>
      </c>
      <c r="G8" t="str" cm="1">
        <f t="array" ref="G8">INDEX(territories!D:D,territories_all!$B8)</f>
        <v xml:space="preserve">
</v>
      </c>
      <c r="H8" t="str" cm="1">
        <f t="array" ref="H8">INDEX(territories!E:E,territories_all!$B8)</f>
        <v>USN</v>
      </c>
      <c r="I8" t="str" cm="1">
        <f t="array" ref="I8">INDEX(territories!F:F,territories_all!$B8)</f>
        <v xml:space="preserve">
</v>
      </c>
      <c r="J8" t="str" cm="1">
        <f t="array" ref="J8">INDEX(territories!G:G,territories_all!$B8)</f>
        <v>Images/navalbase.jpg</v>
      </c>
      <c r="K8" t="str" cm="1">
        <f t="array" ref="K8">INDEX(territories!H:H,territories_all!$B8)</f>
        <v>0.0.1</v>
      </c>
    </row>
    <row r="9" spans="1:11" x14ac:dyDescent="0.25">
      <c r="A9">
        <v>1</v>
      </c>
      <c r="B9">
        <v>2</v>
      </c>
      <c r="C9" t="s">
        <v>35</v>
      </c>
      <c r="D9" t="str" cm="1">
        <f t="array" ref="D9">INDEX(territories!A:A,territories_all!$B9)</f>
        <v>US Naval Base</v>
      </c>
      <c r="E9" cm="1">
        <f t="array" ref="E9">INDEX(territories!B:B,territories_all!$B9)</f>
        <v>6</v>
      </c>
      <c r="F9" cm="1">
        <f t="array" ref="F9">INDEX(territories!C:C,territories_all!$B9)</f>
        <v>2</v>
      </c>
      <c r="G9" t="str" cm="1">
        <f t="array" ref="G9">INDEX(territories!D:D,territories_all!$B9)</f>
        <v xml:space="preserve">
</v>
      </c>
      <c r="H9" t="str" cm="1">
        <f t="array" ref="H9">INDEX(territories!E:E,territories_all!$B9)</f>
        <v>USN</v>
      </c>
      <c r="I9" t="str" cm="1">
        <f t="array" ref="I9">INDEX(territories!F:F,territories_all!$B9)</f>
        <v xml:space="preserve">
</v>
      </c>
      <c r="J9" t="str" cm="1">
        <f t="array" ref="J9">INDEX(territories!G:G,territories_all!$B9)</f>
        <v>Images/navalbase.jpg</v>
      </c>
      <c r="K9" t="str" cm="1">
        <f t="array" ref="K9">INDEX(territories!H:H,territories_all!$B9)</f>
        <v>0.0.1</v>
      </c>
    </row>
    <row r="10" spans="1:11" x14ac:dyDescent="0.25">
      <c r="A10">
        <v>1</v>
      </c>
      <c r="B10">
        <v>2</v>
      </c>
      <c r="C10" t="s">
        <v>36</v>
      </c>
      <c r="D10" t="str" cm="1">
        <f t="array" ref="D10">INDEX(territories!A:A,territories_all!$B10)</f>
        <v>US Naval Base</v>
      </c>
      <c r="E10" cm="1">
        <f t="array" ref="E10">INDEX(territories!B:B,territories_all!$B10)</f>
        <v>6</v>
      </c>
      <c r="F10" cm="1">
        <f t="array" ref="F10">INDEX(territories!C:C,territories_all!$B10)</f>
        <v>2</v>
      </c>
      <c r="G10" t="str" cm="1">
        <f t="array" ref="G10">INDEX(territories!D:D,territories_all!$B10)</f>
        <v xml:space="preserve">
</v>
      </c>
      <c r="H10" t="str" cm="1">
        <f t="array" ref="H10">INDEX(territories!E:E,territories_all!$B10)</f>
        <v>USN</v>
      </c>
      <c r="I10" t="str" cm="1">
        <f t="array" ref="I10">INDEX(territories!F:F,territories_all!$B10)</f>
        <v xml:space="preserve">
</v>
      </c>
      <c r="J10" t="str" cm="1">
        <f t="array" ref="J10">INDEX(territories!G:G,territories_all!$B10)</f>
        <v>Images/navalbase.jpg</v>
      </c>
      <c r="K10" t="str" cm="1">
        <f t="array" ref="K10">INDEX(territories!H:H,territories_all!$B10)</f>
        <v>0.0.1</v>
      </c>
    </row>
    <row r="11" spans="1:11" x14ac:dyDescent="0.25">
      <c r="A11">
        <v>1</v>
      </c>
      <c r="B11">
        <v>2</v>
      </c>
      <c r="C11" t="s">
        <v>37</v>
      </c>
      <c r="D11" t="str" cm="1">
        <f t="array" ref="D11">INDEX(territories!A:A,territories_all!$B11)</f>
        <v>US Naval Base</v>
      </c>
      <c r="E11" cm="1">
        <f t="array" ref="E11">INDEX(territories!B:B,territories_all!$B11)</f>
        <v>6</v>
      </c>
      <c r="F11" cm="1">
        <f t="array" ref="F11">INDEX(territories!C:C,territories_all!$B11)</f>
        <v>2</v>
      </c>
      <c r="G11" t="str" cm="1">
        <f t="array" ref="G11">INDEX(territories!D:D,territories_all!$B11)</f>
        <v xml:space="preserve">
</v>
      </c>
      <c r="H11" t="str" cm="1">
        <f t="array" ref="H11">INDEX(territories!E:E,territories_all!$B11)</f>
        <v>USN</v>
      </c>
      <c r="I11" t="str" cm="1">
        <f t="array" ref="I11">INDEX(territories!F:F,territories_all!$B11)</f>
        <v xml:space="preserve">
</v>
      </c>
      <c r="J11" t="str" cm="1">
        <f t="array" ref="J11">INDEX(territories!G:G,territories_all!$B11)</f>
        <v>Images/navalbase.jpg</v>
      </c>
      <c r="K11" t="str" cm="1">
        <f t="array" ref="K11">INDEX(territories!H:H,territories_all!$B11)</f>
        <v>0.0.1</v>
      </c>
    </row>
    <row r="12" spans="1:11" x14ac:dyDescent="0.25">
      <c r="A12">
        <v>1</v>
      </c>
      <c r="B12">
        <v>3</v>
      </c>
      <c r="C12" t="s">
        <v>38</v>
      </c>
      <c r="D12" t="str" cm="1">
        <f t="array" ref="D12">INDEX(territories!A:A,territories_all!$B12)</f>
        <v>Pine Gap</v>
      </c>
      <c r="E12" cm="1">
        <f t="array" ref="E12">INDEX(territories!B:B,territories_all!$B12)</f>
        <v>4</v>
      </c>
      <c r="F12" cm="1">
        <f t="array" ref="F12">INDEX(territories!C:C,territories_all!$B12)</f>
        <v>2</v>
      </c>
      <c r="G12" t="str" cm="1">
        <f t="array" ref="G12">INDEX(territories!D:D,territories_all!$B12)</f>
        <v>RAINFALL: During your first deployment phase each turn, select a face down asset controlled by your opponent. Your opponent must reveal this asset. It remains face down afterwards.</v>
      </c>
      <c r="H12" t="str" cm="1">
        <f t="array" ref="H12">INDEX(territories!E:E,territories_all!$B12)</f>
        <v>USN</v>
      </c>
      <c r="I12" t="str" cm="1">
        <f t="array" ref="I12">INDEX(territories!F:F,territories_all!$B12)</f>
        <v xml:space="preserve">
</v>
      </c>
      <c r="J12" t="str" cm="1">
        <f t="array" ref="J12">INDEX(territories!G:G,territories_all!$B12)</f>
        <v>Images/pinegap.jpg</v>
      </c>
      <c r="K12" t="str" cm="1">
        <f t="array" ref="K12">INDEX(territories!H:H,territories_all!$B12)</f>
        <v>0.0.1</v>
      </c>
    </row>
    <row r="13" spans="1:11" x14ac:dyDescent="0.25">
      <c r="A13">
        <v>1</v>
      </c>
      <c r="B13">
        <v>2</v>
      </c>
      <c r="C13" t="s">
        <v>39</v>
      </c>
      <c r="D13" t="str" cm="1">
        <f t="array" ref="D13">INDEX(territories!A:A,territories_all!$B13)</f>
        <v>US Naval Base</v>
      </c>
      <c r="E13" cm="1">
        <f t="array" ref="E13">INDEX(territories!B:B,territories_all!$B13)</f>
        <v>6</v>
      </c>
      <c r="F13" cm="1">
        <f t="array" ref="F13">INDEX(territories!C:C,territories_all!$B13)</f>
        <v>2</v>
      </c>
      <c r="G13" t="str" cm="1">
        <f t="array" ref="G13">INDEX(territories!D:D,territories_all!$B13)</f>
        <v xml:space="preserve">
</v>
      </c>
      <c r="H13" t="str" cm="1">
        <f t="array" ref="H13">INDEX(territories!E:E,territories_all!$B13)</f>
        <v>USN</v>
      </c>
      <c r="I13" t="str" cm="1">
        <f t="array" ref="I13">INDEX(territories!F:F,territories_all!$B13)</f>
        <v xml:space="preserve">
</v>
      </c>
      <c r="J13" t="str" cm="1">
        <f t="array" ref="J13">INDEX(territories!G:G,territories_all!$B13)</f>
        <v>Images/navalbase.jpg</v>
      </c>
      <c r="K13" t="str" cm="1">
        <f t="array" ref="K13">INDEX(territories!H:H,territories_all!$B13)</f>
        <v>0.0.1</v>
      </c>
    </row>
    <row r="14" spans="1:11" x14ac:dyDescent="0.25">
      <c r="A14">
        <v>1</v>
      </c>
      <c r="B14">
        <v>5</v>
      </c>
      <c r="C14" t="s">
        <v>44</v>
      </c>
      <c r="D14" t="str" cm="1">
        <f t="array" ref="D14">INDEX(territories!A:A,territories_all!$B14)</f>
        <v>Russian Naval Base</v>
      </c>
      <c r="E14" cm="1">
        <f t="array" ref="E14">INDEX(territories!B:B,territories_all!$B14)</f>
        <v>5</v>
      </c>
      <c r="F14" cm="1">
        <f t="array" ref="F14">INDEX(territories!C:C,territories_all!$B14)</f>
        <v>4</v>
      </c>
      <c r="G14" t="str" cm="1">
        <f t="array" ref="G14">INDEX(territories!D:D,territories_all!$B14)</f>
        <v>Partisans: Provides -4 logistics capacity if controlled by a non-Russian player.</v>
      </c>
      <c r="H14" t="str" cm="1">
        <f t="array" ref="H14">INDEX(territories!E:E,territories_all!$B14)</f>
        <v>RUS</v>
      </c>
      <c r="I14" t="str" cm="1">
        <f t="array" ref="I14">INDEX(territories!F:F,territories_all!$B14)</f>
        <v xml:space="preserve">
</v>
      </c>
      <c r="J14" t="str" cm="1">
        <f t="array" ref="J14">INDEX(territories!G:G,territories_all!$B14)</f>
        <v>Images/russnavybase.jpg</v>
      </c>
      <c r="K14" t="str" cm="1">
        <f t="array" ref="K14">INDEX(territories!H:H,territories_all!$B14)</f>
        <v>0.0.1</v>
      </c>
    </row>
    <row r="15" spans="1:11" x14ac:dyDescent="0.25">
      <c r="A15">
        <v>1</v>
      </c>
      <c r="B15">
        <v>5</v>
      </c>
      <c r="C15" t="s">
        <v>51</v>
      </c>
      <c r="D15" t="str" cm="1">
        <f t="array" ref="D15">INDEX(territories!A:A,territories_all!$B15)</f>
        <v>Russian Naval Base</v>
      </c>
      <c r="E15" cm="1">
        <f t="array" ref="E15">INDEX(territories!B:B,territories_all!$B15)</f>
        <v>5</v>
      </c>
      <c r="F15" cm="1">
        <f t="array" ref="F15">INDEX(territories!C:C,territories_all!$B15)</f>
        <v>4</v>
      </c>
      <c r="G15" t="str" cm="1">
        <f t="array" ref="G15">INDEX(territories!D:D,territories_all!$B15)</f>
        <v>Partisans: Provides -4 logistics capacity if controlled by a non-Russian player.</v>
      </c>
      <c r="H15" t="str" cm="1">
        <f t="array" ref="H15">INDEX(territories!E:E,territories_all!$B15)</f>
        <v>RUS</v>
      </c>
      <c r="I15" t="str" cm="1">
        <f t="array" ref="I15">INDEX(territories!F:F,territories_all!$B15)</f>
        <v xml:space="preserve">
</v>
      </c>
      <c r="J15" t="str" cm="1">
        <f t="array" ref="J15">INDEX(territories!G:G,territories_all!$B15)</f>
        <v>Images/russnavybase.jpg</v>
      </c>
      <c r="K15" t="str" cm="1">
        <f t="array" ref="K15">INDEX(territories!H:H,territories_all!$B15)</f>
        <v>0.0.1</v>
      </c>
    </row>
    <row r="16" spans="1:11" x14ac:dyDescent="0.25">
      <c r="A16">
        <v>1</v>
      </c>
      <c r="B16">
        <v>5</v>
      </c>
      <c r="C16" t="s">
        <v>45</v>
      </c>
      <c r="D16" t="str" cm="1">
        <f t="array" ref="D16">INDEX(territories!A:A,territories_all!$B16)</f>
        <v>Russian Naval Base</v>
      </c>
      <c r="E16" cm="1">
        <f t="array" ref="E16">INDEX(territories!B:B,territories_all!$B16)</f>
        <v>5</v>
      </c>
      <c r="F16" cm="1">
        <f t="array" ref="F16">INDEX(territories!C:C,territories_all!$B16)</f>
        <v>4</v>
      </c>
      <c r="G16" t="str" cm="1">
        <f t="array" ref="G16">INDEX(territories!D:D,territories_all!$B16)</f>
        <v>Partisans: Provides -4 logistics capacity if controlled by a non-Russian player.</v>
      </c>
      <c r="H16" t="str" cm="1">
        <f t="array" ref="H16">INDEX(territories!E:E,territories_all!$B16)</f>
        <v>RUS</v>
      </c>
      <c r="I16" t="str" cm="1">
        <f t="array" ref="I16">INDEX(territories!F:F,territories_all!$B16)</f>
        <v xml:space="preserve">
</v>
      </c>
      <c r="J16" t="str" cm="1">
        <f t="array" ref="J16">INDEX(territories!G:G,territories_all!$B16)</f>
        <v>Images/russnavybase.jpg</v>
      </c>
      <c r="K16" t="str" cm="1">
        <f t="array" ref="K16">INDEX(territories!H:H,territories_all!$B16)</f>
        <v>0.0.1</v>
      </c>
    </row>
    <row r="17" spans="1:11" x14ac:dyDescent="0.25">
      <c r="A17">
        <v>1</v>
      </c>
      <c r="B17">
        <v>5</v>
      </c>
      <c r="C17" t="s">
        <v>46</v>
      </c>
      <c r="D17" t="str" cm="1">
        <f t="array" ref="D17">INDEX(territories!A:A,territories_all!$B17)</f>
        <v>Russian Naval Base</v>
      </c>
      <c r="E17" cm="1">
        <f t="array" ref="E17">INDEX(territories!B:B,territories_all!$B17)</f>
        <v>5</v>
      </c>
      <c r="F17" cm="1">
        <f t="array" ref="F17">INDEX(territories!C:C,territories_all!$B17)</f>
        <v>4</v>
      </c>
      <c r="G17" t="str" cm="1">
        <f t="array" ref="G17">INDEX(territories!D:D,territories_all!$B17)</f>
        <v>Partisans: Provides -4 logistics capacity if controlled by a non-Russian player.</v>
      </c>
      <c r="H17" t="str" cm="1">
        <f t="array" ref="H17">INDEX(territories!E:E,territories_all!$B17)</f>
        <v>RUS</v>
      </c>
      <c r="I17" t="str" cm="1">
        <f t="array" ref="I17">INDEX(territories!F:F,territories_all!$B17)</f>
        <v xml:space="preserve">
</v>
      </c>
      <c r="J17" t="str" cm="1">
        <f t="array" ref="J17">INDEX(territories!G:G,territories_all!$B17)</f>
        <v>Images/russnavybase.jpg</v>
      </c>
      <c r="K17" t="str" cm="1">
        <f t="array" ref="K17">INDEX(territories!H:H,territories_all!$B17)</f>
        <v>0.0.1</v>
      </c>
    </row>
    <row r="18" spans="1:11" x14ac:dyDescent="0.25">
      <c r="A18">
        <v>1</v>
      </c>
      <c r="B18">
        <v>5</v>
      </c>
      <c r="C18" t="s">
        <v>47</v>
      </c>
      <c r="D18" t="str" cm="1">
        <f t="array" ref="D18">INDEX(territories!A:A,territories_all!$B18)</f>
        <v>Russian Naval Base</v>
      </c>
      <c r="E18" cm="1">
        <f t="array" ref="E18">INDEX(territories!B:B,territories_all!$B18)</f>
        <v>5</v>
      </c>
      <c r="F18" cm="1">
        <f t="array" ref="F18">INDEX(territories!C:C,territories_all!$B18)</f>
        <v>4</v>
      </c>
      <c r="G18" t="str" cm="1">
        <f t="array" ref="G18">INDEX(territories!D:D,territories_all!$B18)</f>
        <v>Partisans: Provides -4 logistics capacity if controlled by a non-Russian player.</v>
      </c>
      <c r="H18" t="str" cm="1">
        <f t="array" ref="H18">INDEX(territories!E:E,territories_all!$B18)</f>
        <v>RUS</v>
      </c>
      <c r="I18" t="str" cm="1">
        <f t="array" ref="I18">INDEX(territories!F:F,territories_all!$B18)</f>
        <v xml:space="preserve">
</v>
      </c>
      <c r="J18" t="str" cm="1">
        <f t="array" ref="J18">INDEX(territories!G:G,territories_all!$B18)</f>
        <v>Images/russnavybase.jpg</v>
      </c>
      <c r="K18" t="str" cm="1">
        <f t="array" ref="K18">INDEX(territories!H:H,territories_all!$B18)</f>
        <v>0.0.1</v>
      </c>
    </row>
    <row r="19" spans="1:11" x14ac:dyDescent="0.25">
      <c r="A19">
        <v>1</v>
      </c>
      <c r="B19">
        <v>5</v>
      </c>
      <c r="C19" t="s">
        <v>48</v>
      </c>
      <c r="D19" t="str" cm="1">
        <f t="array" ref="D19">INDEX(territories!A:A,territories_all!$B19)</f>
        <v>Russian Naval Base</v>
      </c>
      <c r="E19" cm="1">
        <f t="array" ref="E19">INDEX(territories!B:B,territories_all!$B19)</f>
        <v>5</v>
      </c>
      <c r="F19" cm="1">
        <f t="array" ref="F19">INDEX(territories!C:C,territories_all!$B19)</f>
        <v>4</v>
      </c>
      <c r="G19" t="str" cm="1">
        <f t="array" ref="G19">INDEX(territories!D:D,territories_all!$B19)</f>
        <v>Partisans: Provides -4 logistics capacity if controlled by a non-Russian player.</v>
      </c>
      <c r="H19" t="str" cm="1">
        <f t="array" ref="H19">INDEX(territories!E:E,territories_all!$B19)</f>
        <v>RUS</v>
      </c>
      <c r="I19" t="str" cm="1">
        <f t="array" ref="I19">INDEX(territories!F:F,territories_all!$B19)</f>
        <v xml:space="preserve">
</v>
      </c>
      <c r="J19" t="str" cm="1">
        <f t="array" ref="J19">INDEX(territories!G:G,territories_all!$B19)</f>
        <v>Images/russnavybase.jpg</v>
      </c>
      <c r="K19" t="str" cm="1">
        <f t="array" ref="K19">INDEX(territories!H:H,territories_all!$B19)</f>
        <v>0.0.1</v>
      </c>
    </row>
    <row r="20" spans="1:11" x14ac:dyDescent="0.25">
      <c r="A20">
        <v>1</v>
      </c>
      <c r="B20">
        <v>5</v>
      </c>
      <c r="C20" t="s">
        <v>49</v>
      </c>
      <c r="D20" t="str" cm="1">
        <f t="array" ref="D20">INDEX(territories!A:A,territories_all!$B20)</f>
        <v>Russian Naval Base</v>
      </c>
      <c r="E20" cm="1">
        <f t="array" ref="E20">INDEX(territories!B:B,territories_all!$B20)</f>
        <v>5</v>
      </c>
      <c r="F20" cm="1">
        <f t="array" ref="F20">INDEX(territories!C:C,territories_all!$B20)</f>
        <v>4</v>
      </c>
      <c r="G20" t="str" cm="1">
        <f t="array" ref="G20">INDEX(territories!D:D,territories_all!$B20)</f>
        <v>Partisans: Provides -4 logistics capacity if controlled by a non-Russian player.</v>
      </c>
      <c r="H20" t="str" cm="1">
        <f t="array" ref="H20">INDEX(territories!E:E,territories_all!$B20)</f>
        <v>RUS</v>
      </c>
      <c r="I20" t="str" cm="1">
        <f t="array" ref="I20">INDEX(territories!F:F,territories_all!$B20)</f>
        <v xml:space="preserve">
</v>
      </c>
      <c r="J20" t="str" cm="1">
        <f t="array" ref="J20">INDEX(territories!G:G,territories_all!$B20)</f>
        <v>Images/russnavybase.jpg</v>
      </c>
      <c r="K20" t="str" cm="1">
        <f t="array" ref="K20">INDEX(territories!H:H,territories_all!$B20)</f>
        <v>0.0.1</v>
      </c>
    </row>
    <row r="21" spans="1:11" x14ac:dyDescent="0.25">
      <c r="A21">
        <v>1</v>
      </c>
      <c r="B21">
        <v>5</v>
      </c>
      <c r="C21" t="s">
        <v>50</v>
      </c>
      <c r="D21" t="str" cm="1">
        <f t="array" ref="D21">INDEX(territories!A:A,territories_all!$B21)</f>
        <v>Russian Naval Base</v>
      </c>
      <c r="E21" cm="1">
        <f t="array" ref="E21">INDEX(territories!B:B,territories_all!$B21)</f>
        <v>5</v>
      </c>
      <c r="F21" cm="1">
        <f t="array" ref="F21">INDEX(territories!C:C,territories_all!$B21)</f>
        <v>4</v>
      </c>
      <c r="G21" t="str" cm="1">
        <f t="array" ref="G21">INDEX(territories!D:D,territories_all!$B21)</f>
        <v>Partisans: Provides -4 logistics capacity if controlled by a non-Russian player.</v>
      </c>
      <c r="H21" t="str" cm="1">
        <f t="array" ref="H21">INDEX(territories!E:E,territories_all!$B21)</f>
        <v>RUS</v>
      </c>
      <c r="I21" t="str" cm="1">
        <f t="array" ref="I21">INDEX(territories!F:F,territories_all!$B21)</f>
        <v xml:space="preserve">
</v>
      </c>
      <c r="J21" t="str" cm="1">
        <f t="array" ref="J21">INDEX(territories!G:G,territories_all!$B21)</f>
        <v>Images/russnavybase.jpg</v>
      </c>
      <c r="K21" t="str" cm="1">
        <f t="array" ref="K21">INDEX(territories!H:H,territories_all!$B21)</f>
        <v>0.0.1</v>
      </c>
    </row>
    <row r="22" spans="1:11" x14ac:dyDescent="0.25">
      <c r="A22">
        <v>1</v>
      </c>
      <c r="B22">
        <v>5</v>
      </c>
      <c r="C22" t="s">
        <v>52</v>
      </c>
      <c r="D22" t="str" cm="1">
        <f t="array" ref="D22">INDEX(territories!A:A,territories_all!$B22)</f>
        <v>Russian Naval Base</v>
      </c>
      <c r="E22" cm="1">
        <f t="array" ref="E22">INDEX(territories!B:B,territories_all!$B22)</f>
        <v>5</v>
      </c>
      <c r="F22" cm="1">
        <f t="array" ref="F22">INDEX(territories!C:C,territories_all!$B22)</f>
        <v>4</v>
      </c>
      <c r="G22" t="str" cm="1">
        <f t="array" ref="G22">INDEX(territories!D:D,territories_all!$B22)</f>
        <v>Partisans: Provides -4 logistics capacity if controlled by a non-Russian player.</v>
      </c>
      <c r="H22" t="str" cm="1">
        <f t="array" ref="H22">INDEX(territories!E:E,territories_all!$B22)</f>
        <v>RUS</v>
      </c>
      <c r="I22" t="str" cm="1">
        <f t="array" ref="I22">INDEX(territories!F:F,territories_all!$B22)</f>
        <v xml:space="preserve">
</v>
      </c>
      <c r="J22" t="str" cm="1">
        <f t="array" ref="J22">INDEX(territories!G:G,territories_all!$B22)</f>
        <v>Images/russnavybase.jpg</v>
      </c>
      <c r="K22" t="str" cm="1">
        <f t="array" ref="K22">INDEX(territories!H:H,territories_all!$B22)</f>
        <v>0.0.1</v>
      </c>
    </row>
    <row r="23" spans="1:11" x14ac:dyDescent="0.25">
      <c r="A23">
        <v>1</v>
      </c>
      <c r="B23">
        <v>5</v>
      </c>
      <c r="C23" t="s">
        <v>53</v>
      </c>
      <c r="D23" t="str" cm="1">
        <f t="array" ref="D23">INDEX(territories!A:A,territories_all!$B23)</f>
        <v>Russian Naval Base</v>
      </c>
      <c r="E23" cm="1">
        <f t="array" ref="E23">INDEX(territories!B:B,territories_all!$B23)</f>
        <v>5</v>
      </c>
      <c r="F23" cm="1">
        <f t="array" ref="F23">INDEX(territories!C:C,territories_all!$B23)</f>
        <v>4</v>
      </c>
      <c r="G23" t="str" cm="1">
        <f t="array" ref="G23">INDEX(territories!D:D,territories_all!$B23)</f>
        <v>Partisans: Provides -4 logistics capacity if controlled by a non-Russian player.</v>
      </c>
      <c r="H23" t="str" cm="1">
        <f t="array" ref="H23">INDEX(territories!E:E,territories_all!$B23)</f>
        <v>RUS</v>
      </c>
      <c r="I23" t="str" cm="1">
        <f t="array" ref="I23">INDEX(territories!F:F,territories_all!$B23)</f>
        <v xml:space="preserve">
</v>
      </c>
      <c r="J23" t="str" cm="1">
        <f t="array" ref="J23">INDEX(territories!G:G,territories_all!$B23)</f>
        <v>Images/russnavybase.jpg</v>
      </c>
      <c r="K23" t="str" cm="1">
        <f t="array" ref="K23">INDEX(territories!H:H,territories_all!$B23)</f>
        <v>0.0.1</v>
      </c>
    </row>
    <row r="24" spans="1:11" x14ac:dyDescent="0.25">
      <c r="A24">
        <v>1</v>
      </c>
      <c r="B24">
        <v>5</v>
      </c>
      <c r="C24" t="s">
        <v>54</v>
      </c>
      <c r="D24" t="str" cm="1">
        <f t="array" ref="D24">INDEX(territories!A:A,territories_all!$B24)</f>
        <v>Russian Naval Base</v>
      </c>
      <c r="E24" cm="1">
        <f t="array" ref="E24">INDEX(territories!B:B,territories_all!$B24)</f>
        <v>5</v>
      </c>
      <c r="F24" cm="1">
        <f t="array" ref="F24">INDEX(territories!C:C,territories_all!$B24)</f>
        <v>4</v>
      </c>
      <c r="G24" t="str" cm="1">
        <f t="array" ref="G24">INDEX(territories!D:D,territories_all!$B24)</f>
        <v>Partisans: Provides -4 logistics capacity if controlled by a non-Russian player.</v>
      </c>
      <c r="H24" t="str" cm="1">
        <f t="array" ref="H24">INDEX(territories!E:E,territories_all!$B24)</f>
        <v>RUS</v>
      </c>
      <c r="I24" t="str" cm="1">
        <f t="array" ref="I24">INDEX(territories!F:F,territories_all!$B24)</f>
        <v xml:space="preserve">
</v>
      </c>
      <c r="J24" t="str" cm="1">
        <f t="array" ref="J24">INDEX(territories!G:G,territories_all!$B24)</f>
        <v>Images/russnavybase.jpg</v>
      </c>
      <c r="K24" t="str" cm="1">
        <f t="array" ref="K24">INDEX(territories!H:H,territories_all!$B24)</f>
        <v>0.0.1</v>
      </c>
    </row>
    <row r="25" spans="1:11" x14ac:dyDescent="0.25">
      <c r="A25">
        <v>1</v>
      </c>
      <c r="B25">
        <v>5</v>
      </c>
      <c r="C25" t="s">
        <v>307</v>
      </c>
      <c r="D25" t="str" cm="1">
        <f t="array" ref="D25">INDEX(territories!A:A,territories_all!$B25)</f>
        <v>Russian Naval Base</v>
      </c>
      <c r="E25" cm="1">
        <f t="array" ref="E25">INDEX(territories!B:B,territories_all!$B25)</f>
        <v>5</v>
      </c>
      <c r="F25" cm="1">
        <f t="array" ref="F25">INDEX(territories!C:C,territories_all!$B25)</f>
        <v>4</v>
      </c>
      <c r="G25" t="str" cm="1">
        <f t="array" ref="G25">INDEX(territories!D:D,territories_all!$B25)</f>
        <v>Partisans: Provides -4 logistics capacity if controlled by a non-Russian player.</v>
      </c>
      <c r="H25" t="str" cm="1">
        <f t="array" ref="H25">INDEX(territories!E:E,territories_all!$B25)</f>
        <v>RUS</v>
      </c>
      <c r="I25" t="str" cm="1">
        <f t="array" ref="I25">INDEX(territories!F:F,territories_all!$B25)</f>
        <v xml:space="preserve">
</v>
      </c>
      <c r="J25" t="str" cm="1">
        <f t="array" ref="J25">INDEX(territories!G:G,territories_all!$B25)</f>
        <v>Images/russnavybase.jpg</v>
      </c>
      <c r="K25" t="str" cm="1">
        <f t="array" ref="K25">INDEX(territories!H:H,territories_all!$B25)</f>
        <v>0.0.1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8E7A7-2A67-420F-8CB3-FDB0ACB6F045}">
  <sheetPr codeName="Sheet14"/>
  <dimension ref="A1:K13"/>
  <sheetViews>
    <sheetView workbookViewId="0">
      <selection activeCell="D2" sqref="D2"/>
    </sheetView>
  </sheetViews>
  <sheetFormatPr defaultRowHeight="15" x14ac:dyDescent="0.25"/>
  <cols>
    <col min="4" max="4" width="28.140625" customWidth="1"/>
  </cols>
  <sheetData>
    <row r="1" spans="1:11" x14ac:dyDescent="0.25">
      <c r="A1" t="s">
        <v>4</v>
      </c>
      <c r="B1" t="s">
        <v>117</v>
      </c>
      <c r="C1" t="s">
        <v>116</v>
      </c>
      <c r="D1" t="str">
        <f>territories!A1</f>
        <v>Title</v>
      </c>
      <c r="E1" t="str">
        <f>territories!B1</f>
        <v>LogisticsCapacity</v>
      </c>
      <c r="F1" t="str">
        <f>territories!C1</f>
        <v>ShoreDefense</v>
      </c>
      <c r="G1" t="str">
        <f>territories!D1</f>
        <v>Description</v>
      </c>
      <c r="H1" t="str">
        <f>territories!E1</f>
        <v>Roster</v>
      </c>
      <c r="I1" t="str">
        <f>territories!F1</f>
        <v>FlavorText</v>
      </c>
      <c r="J1" t="str">
        <f>territories!G1</f>
        <v>Image</v>
      </c>
      <c r="K1" t="str">
        <f>territories!H1</f>
        <v>Version</v>
      </c>
    </row>
    <row r="2" spans="1:11" x14ac:dyDescent="0.25">
      <c r="A2">
        <v>1</v>
      </c>
      <c r="B2">
        <v>2</v>
      </c>
      <c r="C2" t="s">
        <v>28</v>
      </c>
      <c r="D2" t="str" cm="1">
        <f t="array" ref="D2">INDEX(territories!A:A,territories_us_start!$B2)</f>
        <v>US Naval Base</v>
      </c>
      <c r="E2" cm="1">
        <f t="array" ref="E2">INDEX(territories!B:B,territories_us_start!$B2)</f>
        <v>6</v>
      </c>
      <c r="F2" cm="1">
        <f t="array" ref="F2">INDEX(territories!C:C,territories_us_start!$B2)</f>
        <v>2</v>
      </c>
      <c r="G2" t="str" cm="1">
        <f t="array" ref="G2">INDEX(territories!D:D,territories_us_start!$B2)</f>
        <v xml:space="preserve">
</v>
      </c>
      <c r="H2" t="str" cm="1">
        <f t="array" ref="H2">INDEX(territories!E:E,territories_us_start!$B2)</f>
        <v>USN</v>
      </c>
      <c r="I2" t="str" cm="1">
        <f t="array" ref="I2">INDEX(territories!F:F,territories_us_start!$B2)</f>
        <v xml:space="preserve">
</v>
      </c>
      <c r="J2" t="str" cm="1">
        <f t="array" ref="J2">INDEX(territories!G:G,territories_us_start!$B2)</f>
        <v>Images/navalbase.jpg</v>
      </c>
      <c r="K2" t="str" cm="1">
        <f t="array" ref="K2">INDEX(territories!H:H,territories_us_start!$B2)</f>
        <v>0.0.1</v>
      </c>
    </row>
    <row r="3" spans="1:11" x14ac:dyDescent="0.25">
      <c r="A3">
        <v>0</v>
      </c>
      <c r="B3">
        <v>4</v>
      </c>
      <c r="C3" t="s">
        <v>29</v>
      </c>
      <c r="D3" t="str" cm="1">
        <f t="array" ref="D3">INDEX(territories!A:A,territories_us_start!$B3)</f>
        <v>Joint Base Pearl Harbor</v>
      </c>
      <c r="E3" cm="1">
        <f t="array" ref="E3">INDEX(territories!B:B,territories_us_start!$B3)</f>
        <v>5</v>
      </c>
      <c r="F3" cm="1">
        <f t="array" ref="F3">INDEX(territories!C:C,territories_us_start!$B3)</f>
        <v>4</v>
      </c>
      <c r="G3" t="str" cm="1">
        <f t="array" ref="G3">INDEX(territories!D:D,territories_us_start!$B3)</f>
        <v>Grants 2 logistics capacity to the USN player if controlled by their opponent.</v>
      </c>
      <c r="H3" t="str" cm="1">
        <f t="array" ref="H3">INDEX(territories!E:E,territories_us_start!$B3)</f>
        <v>USN</v>
      </c>
      <c r="I3" t="str" cm="1">
        <f t="array" ref="I3">INDEX(territories!F:F,territories_us_start!$B3)</f>
        <v>"I believe that I interpret the will of the Congress and of the people when I assert that we will not only defend ourselves to the uttermost, but will make it very certain that this form of treachery shall never again endanger us." - FDR</v>
      </c>
      <c r="J3" t="str" cm="1">
        <f t="array" ref="J3">INDEX(territories!G:G,territories_us_start!$B3)</f>
        <v>Images/pearlharbor.jpg</v>
      </c>
      <c r="K3" t="str" cm="1">
        <f t="array" ref="K3">INDEX(territories!H:H,territories_us_start!$B3)</f>
        <v>0.0.1</v>
      </c>
    </row>
    <row r="4" spans="1:11" x14ac:dyDescent="0.25">
      <c r="A4">
        <v>1</v>
      </c>
      <c r="B4">
        <v>2</v>
      </c>
      <c r="C4" t="s">
        <v>30</v>
      </c>
      <c r="D4" t="str" cm="1">
        <f t="array" ref="D4">INDEX(territories!A:A,territories_us_start!$B4)</f>
        <v>US Naval Base</v>
      </c>
      <c r="E4" cm="1">
        <f t="array" ref="E4">INDEX(territories!B:B,territories_us_start!$B4)</f>
        <v>6</v>
      </c>
      <c r="F4" cm="1">
        <f t="array" ref="F4">INDEX(territories!C:C,territories_us_start!$B4)</f>
        <v>2</v>
      </c>
      <c r="G4" t="str" cm="1">
        <f t="array" ref="G4">INDEX(territories!D:D,territories_us_start!$B4)</f>
        <v xml:space="preserve">
</v>
      </c>
      <c r="H4" t="str" cm="1">
        <f t="array" ref="H4">INDEX(territories!E:E,territories_us_start!$B4)</f>
        <v>USN</v>
      </c>
      <c r="I4" t="str" cm="1">
        <f t="array" ref="I4">INDEX(territories!F:F,territories_us_start!$B4)</f>
        <v xml:space="preserve">
</v>
      </c>
      <c r="J4" t="str" cm="1">
        <f t="array" ref="J4">INDEX(territories!G:G,territories_us_start!$B4)</f>
        <v>Images/navalbase.jpg</v>
      </c>
      <c r="K4" t="str" cm="1">
        <f t="array" ref="K4">INDEX(territories!H:H,territories_us_start!$B4)</f>
        <v>0.0.1</v>
      </c>
    </row>
    <row r="5" spans="1:11" x14ac:dyDescent="0.25">
      <c r="A5">
        <v>1</v>
      </c>
      <c r="B5">
        <v>2</v>
      </c>
      <c r="C5" t="s">
        <v>31</v>
      </c>
      <c r="D5" t="str" cm="1">
        <f t="array" ref="D5">INDEX(territories!A:A,territories_us_start!$B5)</f>
        <v>US Naval Base</v>
      </c>
      <c r="E5" cm="1">
        <f t="array" ref="E5">INDEX(territories!B:B,territories_us_start!$B5)</f>
        <v>6</v>
      </c>
      <c r="F5" cm="1">
        <f t="array" ref="F5">INDEX(territories!C:C,territories_us_start!$B5)</f>
        <v>2</v>
      </c>
      <c r="G5" t="str" cm="1">
        <f t="array" ref="G5">INDEX(territories!D:D,territories_us_start!$B5)</f>
        <v xml:space="preserve">
</v>
      </c>
      <c r="H5" t="str" cm="1">
        <f t="array" ref="H5">INDEX(territories!E:E,territories_us_start!$B5)</f>
        <v>USN</v>
      </c>
      <c r="I5" t="str" cm="1">
        <f t="array" ref="I5">INDEX(territories!F:F,territories_us_start!$B5)</f>
        <v xml:space="preserve">
</v>
      </c>
      <c r="J5" t="str" cm="1">
        <f t="array" ref="J5">INDEX(territories!G:G,territories_us_start!$B5)</f>
        <v>Images/navalbase.jpg</v>
      </c>
      <c r="K5" t="str" cm="1">
        <f t="array" ref="K5">INDEX(territories!H:H,territories_us_start!$B5)</f>
        <v>0.0.1</v>
      </c>
    </row>
    <row r="6" spans="1:11" x14ac:dyDescent="0.25">
      <c r="A6">
        <v>1</v>
      </c>
      <c r="B6">
        <v>2</v>
      </c>
      <c r="C6" t="s">
        <v>32</v>
      </c>
      <c r="D6" t="str" cm="1">
        <f t="array" ref="D6">INDEX(territories!A:A,territories_us_start!$B6)</f>
        <v>US Naval Base</v>
      </c>
      <c r="E6" cm="1">
        <f t="array" ref="E6">INDEX(territories!B:B,territories_us_start!$B6)</f>
        <v>6</v>
      </c>
      <c r="F6" cm="1">
        <f t="array" ref="F6">INDEX(territories!C:C,territories_us_start!$B6)</f>
        <v>2</v>
      </c>
      <c r="G6" t="str" cm="1">
        <f t="array" ref="G6">INDEX(territories!D:D,territories_us_start!$B6)</f>
        <v xml:space="preserve">
</v>
      </c>
      <c r="H6" t="str" cm="1">
        <f t="array" ref="H6">INDEX(territories!E:E,territories_us_start!$B6)</f>
        <v>USN</v>
      </c>
      <c r="I6" t="str" cm="1">
        <f t="array" ref="I6">INDEX(territories!F:F,territories_us_start!$B6)</f>
        <v xml:space="preserve">
</v>
      </c>
      <c r="J6" t="str" cm="1">
        <f t="array" ref="J6">INDEX(territories!G:G,territories_us_start!$B6)</f>
        <v>Images/navalbase.jpg</v>
      </c>
      <c r="K6" t="str" cm="1">
        <f t="array" ref="K6">INDEX(territories!H:H,territories_us_start!$B6)</f>
        <v>0.0.1</v>
      </c>
    </row>
    <row r="7" spans="1:11" x14ac:dyDescent="0.25">
      <c r="A7">
        <v>1</v>
      </c>
      <c r="B7">
        <v>2</v>
      </c>
      <c r="C7" t="s">
        <v>33</v>
      </c>
      <c r="D7" t="str" cm="1">
        <f t="array" ref="D7">INDEX(territories!A:A,territories_us_start!$B7)</f>
        <v>US Naval Base</v>
      </c>
      <c r="E7" cm="1">
        <f t="array" ref="E7">INDEX(territories!B:B,territories_us_start!$B7)</f>
        <v>6</v>
      </c>
      <c r="F7" cm="1">
        <f t="array" ref="F7">INDEX(territories!C:C,territories_us_start!$B7)</f>
        <v>2</v>
      </c>
      <c r="G7" t="str" cm="1">
        <f t="array" ref="G7">INDEX(territories!D:D,territories_us_start!$B7)</f>
        <v xml:space="preserve">
</v>
      </c>
      <c r="H7" t="str" cm="1">
        <f t="array" ref="H7">INDEX(territories!E:E,territories_us_start!$B7)</f>
        <v>USN</v>
      </c>
      <c r="I7" t="str" cm="1">
        <f t="array" ref="I7">INDEX(territories!F:F,territories_us_start!$B7)</f>
        <v xml:space="preserve">
</v>
      </c>
      <c r="J7" t="str" cm="1">
        <f t="array" ref="J7">INDEX(territories!G:G,territories_us_start!$B7)</f>
        <v>Images/navalbase.jpg</v>
      </c>
      <c r="K7" t="str" cm="1">
        <f t="array" ref="K7">INDEX(territories!H:H,territories_us_start!$B7)</f>
        <v>0.0.1</v>
      </c>
    </row>
    <row r="8" spans="1:11" x14ac:dyDescent="0.25">
      <c r="A8">
        <v>1</v>
      </c>
      <c r="B8">
        <v>2</v>
      </c>
      <c r="C8" t="s">
        <v>34</v>
      </c>
      <c r="D8" t="str" cm="1">
        <f t="array" ref="D8">INDEX(territories!A:A,territories_us_start!$B8)</f>
        <v>US Naval Base</v>
      </c>
      <c r="E8" cm="1">
        <f t="array" ref="E8">INDEX(territories!B:B,territories_us_start!$B8)</f>
        <v>6</v>
      </c>
      <c r="F8" cm="1">
        <f t="array" ref="F8">INDEX(territories!C:C,territories_us_start!$B8)</f>
        <v>2</v>
      </c>
      <c r="G8" t="str" cm="1">
        <f t="array" ref="G8">INDEX(territories!D:D,territories_us_start!$B8)</f>
        <v xml:space="preserve">
</v>
      </c>
      <c r="H8" t="str" cm="1">
        <f t="array" ref="H8">INDEX(territories!E:E,territories_us_start!$B8)</f>
        <v>USN</v>
      </c>
      <c r="I8" t="str" cm="1">
        <f t="array" ref="I8">INDEX(territories!F:F,territories_us_start!$B8)</f>
        <v xml:space="preserve">
</v>
      </c>
      <c r="J8" t="str" cm="1">
        <f t="array" ref="J8">INDEX(territories!G:G,territories_us_start!$B8)</f>
        <v>Images/navalbase.jpg</v>
      </c>
      <c r="K8" t="str" cm="1">
        <f t="array" ref="K8">INDEX(territories!H:H,territories_us_start!$B8)</f>
        <v>0.0.1</v>
      </c>
    </row>
    <row r="9" spans="1:11" x14ac:dyDescent="0.25">
      <c r="A9">
        <v>1</v>
      </c>
      <c r="B9">
        <v>2</v>
      </c>
      <c r="C9" t="s">
        <v>35</v>
      </c>
      <c r="D9" t="str" cm="1">
        <f t="array" ref="D9">INDEX(territories!A:A,territories_us_start!$B9)</f>
        <v>US Naval Base</v>
      </c>
      <c r="E9" cm="1">
        <f t="array" ref="E9">INDEX(territories!B:B,territories_us_start!$B9)</f>
        <v>6</v>
      </c>
      <c r="F9" cm="1">
        <f t="array" ref="F9">INDEX(territories!C:C,territories_us_start!$B9)</f>
        <v>2</v>
      </c>
      <c r="G9" t="str" cm="1">
        <f t="array" ref="G9">INDEX(territories!D:D,territories_us_start!$B9)</f>
        <v xml:space="preserve">
</v>
      </c>
      <c r="H9" t="str" cm="1">
        <f t="array" ref="H9">INDEX(territories!E:E,territories_us_start!$B9)</f>
        <v>USN</v>
      </c>
      <c r="I9" t="str" cm="1">
        <f t="array" ref="I9">INDEX(territories!F:F,territories_us_start!$B9)</f>
        <v xml:space="preserve">
</v>
      </c>
      <c r="J9" t="str" cm="1">
        <f t="array" ref="J9">INDEX(territories!G:G,territories_us_start!$B9)</f>
        <v>Images/navalbase.jpg</v>
      </c>
      <c r="K9" t="str" cm="1">
        <f t="array" ref="K9">INDEX(territories!H:H,territories_us_start!$B9)</f>
        <v>0.0.1</v>
      </c>
    </row>
    <row r="10" spans="1:11" x14ac:dyDescent="0.25">
      <c r="A10">
        <v>1</v>
      </c>
      <c r="B10">
        <v>2</v>
      </c>
      <c r="C10" t="s">
        <v>36</v>
      </c>
      <c r="D10" t="str" cm="1">
        <f t="array" ref="D10">INDEX(territories!A:A,territories_us_start!$B10)</f>
        <v>US Naval Base</v>
      </c>
      <c r="E10" cm="1">
        <f t="array" ref="E10">INDEX(territories!B:B,territories_us_start!$B10)</f>
        <v>6</v>
      </c>
      <c r="F10" cm="1">
        <f t="array" ref="F10">INDEX(territories!C:C,territories_us_start!$B10)</f>
        <v>2</v>
      </c>
      <c r="G10" t="str" cm="1">
        <f t="array" ref="G10">INDEX(territories!D:D,territories_us_start!$B10)</f>
        <v xml:space="preserve">
</v>
      </c>
      <c r="H10" t="str" cm="1">
        <f t="array" ref="H10">INDEX(territories!E:E,territories_us_start!$B10)</f>
        <v>USN</v>
      </c>
      <c r="I10" t="str" cm="1">
        <f t="array" ref="I10">INDEX(territories!F:F,territories_us_start!$B10)</f>
        <v xml:space="preserve">
</v>
      </c>
      <c r="J10" t="str" cm="1">
        <f t="array" ref="J10">INDEX(territories!G:G,territories_us_start!$B10)</f>
        <v>Images/navalbase.jpg</v>
      </c>
      <c r="K10" t="str" cm="1">
        <f t="array" ref="K10">INDEX(territories!H:H,territories_us_start!$B10)</f>
        <v>0.0.1</v>
      </c>
    </row>
    <row r="11" spans="1:11" x14ac:dyDescent="0.25">
      <c r="A11">
        <v>1</v>
      </c>
      <c r="B11">
        <v>2</v>
      </c>
      <c r="C11" t="s">
        <v>37</v>
      </c>
      <c r="D11" t="str" cm="1">
        <f t="array" ref="D11">INDEX(territories!A:A,territories_us_start!$B11)</f>
        <v>US Naval Base</v>
      </c>
      <c r="E11" cm="1">
        <f t="array" ref="E11">INDEX(territories!B:B,territories_us_start!$B11)</f>
        <v>6</v>
      </c>
      <c r="F11" cm="1">
        <f t="array" ref="F11">INDEX(territories!C:C,territories_us_start!$B11)</f>
        <v>2</v>
      </c>
      <c r="G11" t="str" cm="1">
        <f t="array" ref="G11">INDEX(territories!D:D,territories_us_start!$B11)</f>
        <v xml:space="preserve">
</v>
      </c>
      <c r="H11" t="str" cm="1">
        <f t="array" ref="H11">INDEX(territories!E:E,territories_us_start!$B11)</f>
        <v>USN</v>
      </c>
      <c r="I11" t="str" cm="1">
        <f t="array" ref="I11">INDEX(territories!F:F,territories_us_start!$B11)</f>
        <v xml:space="preserve">
</v>
      </c>
      <c r="J11" t="str" cm="1">
        <f t="array" ref="J11">INDEX(territories!G:G,territories_us_start!$B11)</f>
        <v>Images/navalbase.jpg</v>
      </c>
      <c r="K11" t="str" cm="1">
        <f t="array" ref="K11">INDEX(territories!H:H,territories_us_start!$B11)</f>
        <v>0.0.1</v>
      </c>
    </row>
    <row r="12" spans="1:11" x14ac:dyDescent="0.25">
      <c r="A12">
        <v>1</v>
      </c>
      <c r="B12">
        <v>3</v>
      </c>
      <c r="C12" t="s">
        <v>38</v>
      </c>
      <c r="D12" t="str" cm="1">
        <f t="array" ref="D12">INDEX(territories!A:A,territories_us_start!$B12)</f>
        <v>Pine Gap</v>
      </c>
      <c r="E12" cm="1">
        <f t="array" ref="E12">INDEX(territories!B:B,territories_us_start!$B12)</f>
        <v>4</v>
      </c>
      <c r="F12" cm="1">
        <f t="array" ref="F12">INDEX(territories!C:C,territories_us_start!$B12)</f>
        <v>2</v>
      </c>
      <c r="G12" t="str" cm="1">
        <f t="array" ref="G12">INDEX(territories!D:D,territories_us_start!$B12)</f>
        <v>RAINFALL: During your first deployment phase each turn, select a face down asset controlled by your opponent. Your opponent must reveal this asset. It remains face down afterwards.</v>
      </c>
      <c r="H12" t="str" cm="1">
        <f t="array" ref="H12">INDEX(territories!E:E,territories_us_start!$B12)</f>
        <v>USN</v>
      </c>
      <c r="I12" t="str" cm="1">
        <f t="array" ref="I12">INDEX(territories!F:F,territories_us_start!$B12)</f>
        <v xml:space="preserve">
</v>
      </c>
      <c r="J12" t="str" cm="1">
        <f t="array" ref="J12">INDEX(territories!G:G,territories_us_start!$B12)</f>
        <v>Images/pinegap.jpg</v>
      </c>
      <c r="K12" t="str" cm="1">
        <f t="array" ref="K12">INDEX(territories!H:H,territories_us_start!$B12)</f>
        <v>0.0.1</v>
      </c>
    </row>
    <row r="13" spans="1:11" x14ac:dyDescent="0.25">
      <c r="A13">
        <v>1</v>
      </c>
      <c r="B13">
        <v>2</v>
      </c>
      <c r="C13" t="s">
        <v>39</v>
      </c>
      <c r="D13" t="str" cm="1">
        <f t="array" ref="D13">INDEX(territories!A:A,territories_us_start!$B13)</f>
        <v>US Naval Base</v>
      </c>
      <c r="E13" cm="1">
        <f t="array" ref="E13">INDEX(territories!B:B,territories_us_start!$B13)</f>
        <v>6</v>
      </c>
      <c r="F13" cm="1">
        <f t="array" ref="F13">INDEX(territories!C:C,territories_us_start!$B13)</f>
        <v>2</v>
      </c>
      <c r="G13" t="str" cm="1">
        <f t="array" ref="G13">INDEX(territories!D:D,territories_us_start!$B13)</f>
        <v xml:space="preserve">
</v>
      </c>
      <c r="H13" t="str" cm="1">
        <f t="array" ref="H13">INDEX(territories!E:E,territories_us_start!$B13)</f>
        <v>USN</v>
      </c>
      <c r="I13" t="str" cm="1">
        <f t="array" ref="I13">INDEX(territories!F:F,territories_us_start!$B13)</f>
        <v xml:space="preserve">
</v>
      </c>
      <c r="J13" t="str" cm="1">
        <f t="array" ref="J13">INDEX(territories!G:G,territories_us_start!$B13)</f>
        <v>Images/navalbase.jpg</v>
      </c>
      <c r="K13" t="str" cm="1">
        <f t="array" ref="K13">INDEX(territories!H:H,territories_us_start!$B13)</f>
        <v>0.0.1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9E7B4-8EF1-4F4C-8259-7632B42FE9FC}">
  <sheetPr codeName="Sheet15"/>
  <dimension ref="A1:K13"/>
  <sheetViews>
    <sheetView workbookViewId="0">
      <selection activeCell="R10" sqref="R10"/>
    </sheetView>
  </sheetViews>
  <sheetFormatPr defaultRowHeight="15" x14ac:dyDescent="0.25"/>
  <cols>
    <col min="3" max="3" width="28.28515625" customWidth="1"/>
    <col min="4" max="4" width="21.42578125" customWidth="1"/>
    <col min="10" max="10" width="24.42578125" customWidth="1"/>
  </cols>
  <sheetData>
    <row r="1" spans="1:11" x14ac:dyDescent="0.25">
      <c r="A1" t="s">
        <v>4</v>
      </c>
      <c r="B1" t="s">
        <v>117</v>
      </c>
      <c r="C1" t="s">
        <v>116</v>
      </c>
      <c r="D1" t="str">
        <f>territories!A1</f>
        <v>Title</v>
      </c>
      <c r="E1" t="str">
        <f>territories!B1</f>
        <v>LogisticsCapacity</v>
      </c>
      <c r="F1" t="str">
        <f>territories!C1</f>
        <v>ShoreDefense</v>
      </c>
      <c r="G1" t="str">
        <f>territories!D1</f>
        <v>Description</v>
      </c>
      <c r="H1" t="str">
        <f>territories!E1</f>
        <v>Roster</v>
      </c>
      <c r="I1" t="str">
        <f>territories!F1</f>
        <v>FlavorText</v>
      </c>
      <c r="J1" t="str">
        <f>territories!G1</f>
        <v>Image</v>
      </c>
      <c r="K1" t="str">
        <f>territories!H1</f>
        <v>Version</v>
      </c>
    </row>
    <row r="2" spans="1:11" x14ac:dyDescent="0.25">
      <c r="A2">
        <v>1</v>
      </c>
      <c r="B2">
        <v>5</v>
      </c>
      <c r="C2" t="s">
        <v>44</v>
      </c>
      <c r="D2" t="str" cm="1">
        <f t="array" ref="D2">INDEX(territories!A:A,territories_ru_start!$B2)</f>
        <v>Russian Naval Base</v>
      </c>
      <c r="E2" cm="1">
        <f t="array" ref="E2">INDEX(territories!B:B,territories_ru_start!$B2)</f>
        <v>5</v>
      </c>
      <c r="F2" cm="1">
        <f t="array" ref="F2">INDEX(territories!C:C,territories_ru_start!$B2)</f>
        <v>4</v>
      </c>
      <c r="G2" t="str" cm="1">
        <f t="array" ref="G2">INDEX(territories!D:D,territories_ru_start!$B2)</f>
        <v>Partisans: Provides -4 logistics capacity if controlled by a non-Russian player.</v>
      </c>
      <c r="H2" t="str" cm="1">
        <f t="array" ref="H2">INDEX(territories!E:E,territories_ru_start!$B2)</f>
        <v>RUS</v>
      </c>
      <c r="I2" t="str" cm="1">
        <f t="array" ref="I2">INDEX(territories!F:F,territories_ru_start!$B2)</f>
        <v xml:space="preserve">
</v>
      </c>
      <c r="J2" t="str" cm="1">
        <f t="array" ref="J2">INDEX(territories!G:G,territories_ru_start!$B2)</f>
        <v>Images/russnavybase.jpg</v>
      </c>
      <c r="K2" t="str" cm="1">
        <f t="array" ref="K2">INDEX(territories!H:H,territories_ru_start!$B2)</f>
        <v>0.0.1</v>
      </c>
    </row>
    <row r="3" spans="1:11" x14ac:dyDescent="0.25">
      <c r="A3">
        <v>1</v>
      </c>
      <c r="B3">
        <v>5</v>
      </c>
      <c r="C3" t="s">
        <v>51</v>
      </c>
      <c r="D3" t="str" cm="1">
        <f t="array" ref="D3">INDEX(territories!A:A,territories_ru_start!$B3)</f>
        <v>Russian Naval Base</v>
      </c>
      <c r="E3" cm="1">
        <f t="array" ref="E3">INDEX(territories!B:B,territories_ru_start!$B3)</f>
        <v>5</v>
      </c>
      <c r="F3" cm="1">
        <f t="array" ref="F3">INDEX(territories!C:C,territories_ru_start!$B3)</f>
        <v>4</v>
      </c>
      <c r="G3" t="str" cm="1">
        <f t="array" ref="G3">INDEX(territories!D:D,territories_ru_start!$B3)</f>
        <v>Partisans: Provides -4 logistics capacity if controlled by a non-Russian player.</v>
      </c>
      <c r="H3" t="str" cm="1">
        <f t="array" ref="H3">INDEX(territories!E:E,territories_ru_start!$B3)</f>
        <v>RUS</v>
      </c>
      <c r="I3" t="str" cm="1">
        <f t="array" ref="I3">INDEX(territories!F:F,territories_ru_start!$B3)</f>
        <v xml:space="preserve">
</v>
      </c>
      <c r="J3" t="str" cm="1">
        <f t="array" ref="J3">INDEX(territories!G:G,territories_ru_start!$B3)</f>
        <v>Images/russnavybase.jpg</v>
      </c>
      <c r="K3" t="str" cm="1">
        <f t="array" ref="K3">INDEX(territories!H:H,territories_ru_start!$B3)</f>
        <v>0.0.1</v>
      </c>
    </row>
    <row r="4" spans="1:11" x14ac:dyDescent="0.25">
      <c r="A4">
        <v>1</v>
      </c>
      <c r="B4">
        <v>5</v>
      </c>
      <c r="C4" t="s">
        <v>45</v>
      </c>
      <c r="D4" t="str" cm="1">
        <f t="array" ref="D4">INDEX(territories!A:A,territories_ru_start!$B4)</f>
        <v>Russian Naval Base</v>
      </c>
      <c r="E4" cm="1">
        <f t="array" ref="E4">INDEX(territories!B:B,territories_ru_start!$B4)</f>
        <v>5</v>
      </c>
      <c r="F4" cm="1">
        <f t="array" ref="F4">INDEX(territories!C:C,territories_ru_start!$B4)</f>
        <v>4</v>
      </c>
      <c r="G4" t="str" cm="1">
        <f t="array" ref="G4">INDEX(territories!D:D,territories_ru_start!$B4)</f>
        <v>Partisans: Provides -4 logistics capacity if controlled by a non-Russian player.</v>
      </c>
      <c r="H4" t="str" cm="1">
        <f t="array" ref="H4">INDEX(territories!E:E,territories_ru_start!$B4)</f>
        <v>RUS</v>
      </c>
      <c r="I4" t="str" cm="1">
        <f t="array" ref="I4">INDEX(territories!F:F,territories_ru_start!$B4)</f>
        <v xml:space="preserve">
</v>
      </c>
      <c r="J4" t="str" cm="1">
        <f t="array" ref="J4">INDEX(territories!G:G,territories_ru_start!$B4)</f>
        <v>Images/russnavybase.jpg</v>
      </c>
      <c r="K4" t="str" cm="1">
        <f t="array" ref="K4">INDEX(territories!H:H,territories_ru_start!$B4)</f>
        <v>0.0.1</v>
      </c>
    </row>
    <row r="5" spans="1:11" x14ac:dyDescent="0.25">
      <c r="A5">
        <v>1</v>
      </c>
      <c r="B5">
        <v>5</v>
      </c>
      <c r="C5" t="s">
        <v>46</v>
      </c>
      <c r="D5" t="str" cm="1">
        <f t="array" ref="D5">INDEX(territories!A:A,territories_ru_start!$B5)</f>
        <v>Russian Naval Base</v>
      </c>
      <c r="E5" cm="1">
        <f t="array" ref="E5">INDEX(territories!B:B,territories_ru_start!$B5)</f>
        <v>5</v>
      </c>
      <c r="F5" cm="1">
        <f t="array" ref="F5">INDEX(territories!C:C,territories_ru_start!$B5)</f>
        <v>4</v>
      </c>
      <c r="G5" t="str" cm="1">
        <f t="array" ref="G5">INDEX(territories!D:D,territories_ru_start!$B5)</f>
        <v>Partisans: Provides -4 logistics capacity if controlled by a non-Russian player.</v>
      </c>
      <c r="H5" t="str" cm="1">
        <f t="array" ref="H5">INDEX(territories!E:E,territories_ru_start!$B5)</f>
        <v>RUS</v>
      </c>
      <c r="I5" t="str" cm="1">
        <f t="array" ref="I5">INDEX(territories!F:F,territories_ru_start!$B5)</f>
        <v xml:space="preserve">
</v>
      </c>
      <c r="J5" t="str" cm="1">
        <f t="array" ref="J5">INDEX(territories!G:G,territories_ru_start!$B5)</f>
        <v>Images/russnavybase.jpg</v>
      </c>
      <c r="K5" t="str" cm="1">
        <f t="array" ref="K5">INDEX(territories!H:H,territories_ru_start!$B5)</f>
        <v>0.0.1</v>
      </c>
    </row>
    <row r="6" spans="1:11" x14ac:dyDescent="0.25">
      <c r="A6">
        <v>1</v>
      </c>
      <c r="B6">
        <v>5</v>
      </c>
      <c r="C6" t="s">
        <v>47</v>
      </c>
      <c r="D6" t="str" cm="1">
        <f t="array" ref="D6">INDEX(territories!A:A,territories_ru_start!$B6)</f>
        <v>Russian Naval Base</v>
      </c>
      <c r="E6" cm="1">
        <f t="array" ref="E6">INDEX(territories!B:B,territories_ru_start!$B6)</f>
        <v>5</v>
      </c>
      <c r="F6" cm="1">
        <f t="array" ref="F6">INDEX(territories!C:C,territories_ru_start!$B6)</f>
        <v>4</v>
      </c>
      <c r="G6" t="str" cm="1">
        <f t="array" ref="G6">INDEX(territories!D:D,territories_ru_start!$B6)</f>
        <v>Partisans: Provides -4 logistics capacity if controlled by a non-Russian player.</v>
      </c>
      <c r="H6" t="str" cm="1">
        <f t="array" ref="H6">INDEX(territories!E:E,territories_ru_start!$B6)</f>
        <v>RUS</v>
      </c>
      <c r="I6" t="str" cm="1">
        <f t="array" ref="I6">INDEX(territories!F:F,territories_ru_start!$B6)</f>
        <v xml:space="preserve">
</v>
      </c>
      <c r="J6" t="str" cm="1">
        <f t="array" ref="J6">INDEX(territories!G:G,territories_ru_start!$B6)</f>
        <v>Images/russnavybase.jpg</v>
      </c>
      <c r="K6" t="str" cm="1">
        <f t="array" ref="K6">INDEX(territories!H:H,territories_ru_start!$B6)</f>
        <v>0.0.1</v>
      </c>
    </row>
    <row r="7" spans="1:11" x14ac:dyDescent="0.25">
      <c r="A7">
        <v>1</v>
      </c>
      <c r="B7">
        <v>5</v>
      </c>
      <c r="C7" t="s">
        <v>48</v>
      </c>
      <c r="D7" t="str" cm="1">
        <f t="array" ref="D7">INDEX(territories!A:A,territories_ru_start!$B7)</f>
        <v>Russian Naval Base</v>
      </c>
      <c r="E7" cm="1">
        <f t="array" ref="E7">INDEX(territories!B:B,territories_ru_start!$B7)</f>
        <v>5</v>
      </c>
      <c r="F7" cm="1">
        <f t="array" ref="F7">INDEX(territories!C:C,territories_ru_start!$B7)</f>
        <v>4</v>
      </c>
      <c r="G7" t="str" cm="1">
        <f t="array" ref="G7">INDEX(territories!D:D,territories_ru_start!$B7)</f>
        <v>Partisans: Provides -4 logistics capacity if controlled by a non-Russian player.</v>
      </c>
      <c r="H7" t="str" cm="1">
        <f t="array" ref="H7">INDEX(territories!E:E,territories_ru_start!$B7)</f>
        <v>RUS</v>
      </c>
      <c r="I7" t="str" cm="1">
        <f t="array" ref="I7">INDEX(territories!F:F,territories_ru_start!$B7)</f>
        <v xml:space="preserve">
</v>
      </c>
      <c r="J7" t="str" cm="1">
        <f t="array" ref="J7">INDEX(territories!G:G,territories_ru_start!$B7)</f>
        <v>Images/russnavybase.jpg</v>
      </c>
      <c r="K7" t="str" cm="1">
        <f t="array" ref="K7">INDEX(territories!H:H,territories_ru_start!$B7)</f>
        <v>0.0.1</v>
      </c>
    </row>
    <row r="8" spans="1:11" x14ac:dyDescent="0.25">
      <c r="A8">
        <v>1</v>
      </c>
      <c r="B8">
        <v>5</v>
      </c>
      <c r="C8" t="s">
        <v>49</v>
      </c>
      <c r="D8" t="str" cm="1">
        <f t="array" ref="D8">INDEX(territories!A:A,territories_ru_start!$B8)</f>
        <v>Russian Naval Base</v>
      </c>
      <c r="E8" cm="1">
        <f t="array" ref="E8">INDEX(territories!B:B,territories_ru_start!$B8)</f>
        <v>5</v>
      </c>
      <c r="F8" cm="1">
        <f t="array" ref="F8">INDEX(territories!C:C,territories_ru_start!$B8)</f>
        <v>4</v>
      </c>
      <c r="G8" t="str" cm="1">
        <f t="array" ref="G8">INDEX(territories!D:D,territories_ru_start!$B8)</f>
        <v>Partisans: Provides -4 logistics capacity if controlled by a non-Russian player.</v>
      </c>
      <c r="H8" t="str" cm="1">
        <f t="array" ref="H8">INDEX(territories!E:E,territories_ru_start!$B8)</f>
        <v>RUS</v>
      </c>
      <c r="I8" t="str" cm="1">
        <f t="array" ref="I8">INDEX(territories!F:F,territories_ru_start!$B8)</f>
        <v xml:space="preserve">
</v>
      </c>
      <c r="J8" t="str" cm="1">
        <f t="array" ref="J8">INDEX(territories!G:G,territories_ru_start!$B8)</f>
        <v>Images/russnavybase.jpg</v>
      </c>
      <c r="K8" t="str" cm="1">
        <f t="array" ref="K8">INDEX(territories!H:H,territories_ru_start!$B8)</f>
        <v>0.0.1</v>
      </c>
    </row>
    <row r="9" spans="1:11" x14ac:dyDescent="0.25">
      <c r="A9">
        <v>1</v>
      </c>
      <c r="B9">
        <v>5</v>
      </c>
      <c r="C9" t="s">
        <v>50</v>
      </c>
      <c r="D9" t="str" cm="1">
        <f t="array" ref="D9">INDEX(territories!A:A,territories_ru_start!$B9)</f>
        <v>Russian Naval Base</v>
      </c>
      <c r="E9" cm="1">
        <f t="array" ref="E9">INDEX(territories!B:B,territories_ru_start!$B9)</f>
        <v>5</v>
      </c>
      <c r="F9" cm="1">
        <f t="array" ref="F9">INDEX(territories!C:C,territories_ru_start!$B9)</f>
        <v>4</v>
      </c>
      <c r="G9" t="str" cm="1">
        <f t="array" ref="G9">INDEX(territories!D:D,territories_ru_start!$B9)</f>
        <v>Partisans: Provides -4 logistics capacity if controlled by a non-Russian player.</v>
      </c>
      <c r="H9" t="str" cm="1">
        <f t="array" ref="H9">INDEX(territories!E:E,territories_ru_start!$B9)</f>
        <v>RUS</v>
      </c>
      <c r="I9" t="str" cm="1">
        <f t="array" ref="I9">INDEX(territories!F:F,territories_ru_start!$B9)</f>
        <v xml:space="preserve">
</v>
      </c>
      <c r="J9" t="str" cm="1">
        <f t="array" ref="J9">INDEX(territories!G:G,territories_ru_start!$B9)</f>
        <v>Images/russnavybase.jpg</v>
      </c>
      <c r="K9" t="str" cm="1">
        <f t="array" ref="K9">INDEX(territories!H:H,territories_ru_start!$B9)</f>
        <v>0.0.1</v>
      </c>
    </row>
    <row r="10" spans="1:11" x14ac:dyDescent="0.25">
      <c r="A10">
        <v>1</v>
      </c>
      <c r="B10">
        <v>5</v>
      </c>
      <c r="C10" t="s">
        <v>52</v>
      </c>
      <c r="D10" t="str" cm="1">
        <f t="array" ref="D10">INDEX(territories!A:A,territories_ru_start!$B10)</f>
        <v>Russian Naval Base</v>
      </c>
      <c r="E10" cm="1">
        <f t="array" ref="E10">INDEX(territories!B:B,territories_ru_start!$B10)</f>
        <v>5</v>
      </c>
      <c r="F10" cm="1">
        <f t="array" ref="F10">INDEX(territories!C:C,territories_ru_start!$B10)</f>
        <v>4</v>
      </c>
      <c r="G10" t="str" cm="1">
        <f t="array" ref="G10">INDEX(territories!D:D,territories_ru_start!$B10)</f>
        <v>Partisans: Provides -4 logistics capacity if controlled by a non-Russian player.</v>
      </c>
      <c r="H10" t="str" cm="1">
        <f t="array" ref="H10">INDEX(territories!E:E,territories_ru_start!$B10)</f>
        <v>RUS</v>
      </c>
      <c r="I10" t="str" cm="1">
        <f t="array" ref="I10">INDEX(territories!F:F,territories_ru_start!$B10)</f>
        <v xml:space="preserve">
</v>
      </c>
      <c r="J10" t="str" cm="1">
        <f t="array" ref="J10">INDEX(territories!G:G,territories_ru_start!$B10)</f>
        <v>Images/russnavybase.jpg</v>
      </c>
      <c r="K10" t="str" cm="1">
        <f t="array" ref="K10">INDEX(territories!H:H,territories_ru_start!$B10)</f>
        <v>0.0.1</v>
      </c>
    </row>
    <row r="11" spans="1:11" x14ac:dyDescent="0.25">
      <c r="A11">
        <v>1</v>
      </c>
      <c r="B11">
        <v>5</v>
      </c>
      <c r="C11" t="s">
        <v>53</v>
      </c>
      <c r="D11" t="str" cm="1">
        <f t="array" ref="D11">INDEX(territories!A:A,territories_ru_start!$B11)</f>
        <v>Russian Naval Base</v>
      </c>
      <c r="E11" cm="1">
        <f t="array" ref="E11">INDEX(territories!B:B,territories_ru_start!$B11)</f>
        <v>5</v>
      </c>
      <c r="F11" cm="1">
        <f t="array" ref="F11">INDEX(territories!C:C,territories_ru_start!$B11)</f>
        <v>4</v>
      </c>
      <c r="G11" t="str" cm="1">
        <f t="array" ref="G11">INDEX(territories!D:D,territories_ru_start!$B11)</f>
        <v>Partisans: Provides -4 logistics capacity if controlled by a non-Russian player.</v>
      </c>
      <c r="H11" t="str" cm="1">
        <f t="array" ref="H11">INDEX(territories!E:E,territories_ru_start!$B11)</f>
        <v>RUS</v>
      </c>
      <c r="I11" t="str" cm="1">
        <f t="array" ref="I11">INDEX(territories!F:F,territories_ru_start!$B11)</f>
        <v xml:space="preserve">
</v>
      </c>
      <c r="J11" t="str" cm="1">
        <f t="array" ref="J11">INDEX(territories!G:G,territories_ru_start!$B11)</f>
        <v>Images/russnavybase.jpg</v>
      </c>
      <c r="K11" t="str" cm="1">
        <f t="array" ref="K11">INDEX(territories!H:H,territories_ru_start!$B11)</f>
        <v>0.0.1</v>
      </c>
    </row>
    <row r="12" spans="1:11" x14ac:dyDescent="0.25">
      <c r="A12">
        <v>0</v>
      </c>
      <c r="B12">
        <v>5</v>
      </c>
      <c r="C12" t="s">
        <v>54</v>
      </c>
      <c r="D12" t="str" cm="1">
        <f t="array" ref="D12">INDEX(territories!A:A,territories_ru_start!$B12)</f>
        <v>Russian Naval Base</v>
      </c>
      <c r="E12" cm="1">
        <f t="array" ref="E12">INDEX(territories!B:B,territories_ru_start!$B12)</f>
        <v>5</v>
      </c>
      <c r="F12" cm="1">
        <f t="array" ref="F12">INDEX(territories!C:C,territories_ru_start!$B12)</f>
        <v>4</v>
      </c>
      <c r="G12" t="str" cm="1">
        <f t="array" ref="G12">INDEX(territories!D:D,territories_ru_start!$B12)</f>
        <v>Partisans: Provides -4 logistics capacity if controlled by a non-Russian player.</v>
      </c>
      <c r="H12" t="str" cm="1">
        <f t="array" ref="H12">INDEX(territories!E:E,territories_ru_start!$B12)</f>
        <v>RUS</v>
      </c>
      <c r="I12" t="str" cm="1">
        <f t="array" ref="I12">INDEX(territories!F:F,territories_ru_start!$B12)</f>
        <v xml:space="preserve">
</v>
      </c>
      <c r="J12" t="str" cm="1">
        <f t="array" ref="J12">INDEX(territories!G:G,territories_ru_start!$B12)</f>
        <v>Images/russnavybase.jpg</v>
      </c>
      <c r="K12" t="str" cm="1">
        <f t="array" ref="K12">INDEX(territories!H:H,territories_ru_start!$B12)</f>
        <v>0.0.1</v>
      </c>
    </row>
    <row r="13" spans="1:11" x14ac:dyDescent="0.25">
      <c r="A13">
        <v>0</v>
      </c>
      <c r="B13">
        <v>5</v>
      </c>
      <c r="C13" t="s">
        <v>307</v>
      </c>
      <c r="D13" t="str" cm="1">
        <f t="array" ref="D13">INDEX(territories!A:A,territories_ru_start!$B13)</f>
        <v>Russian Naval Base</v>
      </c>
      <c r="E13" cm="1">
        <f t="array" ref="E13">INDEX(territories!B:B,territories_ru_start!$B13)</f>
        <v>5</v>
      </c>
      <c r="F13" cm="1">
        <f t="array" ref="F13">INDEX(territories!C:C,territories_ru_start!$B13)</f>
        <v>4</v>
      </c>
      <c r="G13" t="str" cm="1">
        <f t="array" ref="G13">INDEX(territories!D:D,territories_ru_start!$B13)</f>
        <v>Partisans: Provides -4 logistics capacity if controlled by a non-Russian player.</v>
      </c>
      <c r="H13" t="str" cm="1">
        <f t="array" ref="H13">INDEX(territories!E:E,territories_ru_start!$B13)</f>
        <v>RUS</v>
      </c>
      <c r="I13" t="str" cm="1">
        <f t="array" ref="I13">INDEX(territories!F:F,territories_ru_start!$B13)</f>
        <v xml:space="preserve">
</v>
      </c>
      <c r="J13" t="str" cm="1">
        <f t="array" ref="J13">INDEX(territories!G:G,territories_ru_start!$B13)</f>
        <v>Images/russnavybase.jpg</v>
      </c>
      <c r="K13" t="str" cm="1">
        <f t="array" ref="K13">INDEX(territories!H:H,territories_ru_start!$B13)</f>
        <v>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balance</vt:lpstr>
      <vt:lpstr>version</vt:lpstr>
      <vt:lpstr>effects</vt:lpstr>
      <vt:lpstr>military_assets</vt:lpstr>
      <vt:lpstr>actions</vt:lpstr>
      <vt:lpstr>territories</vt:lpstr>
      <vt:lpstr>mil_ass_all</vt:lpstr>
      <vt:lpstr>mil_ass_us_start</vt:lpstr>
      <vt:lpstr>mil_ass_ru_start</vt:lpstr>
      <vt:lpstr>actions_all</vt:lpstr>
      <vt:lpstr>actions_us_start</vt:lpstr>
      <vt:lpstr>actions_ru_start</vt:lpstr>
      <vt:lpstr>territories_all</vt:lpstr>
      <vt:lpstr>territories_us_start</vt:lpstr>
      <vt:lpstr>territories_ru_start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Rick Rodgers</dc:creator>
  <cp:lastModifiedBy>Rick Rodgers</cp:lastModifiedBy>
  <dcterms:created xsi:type="dcterms:W3CDTF">2020-08-31T22:13:11Z</dcterms:created>
  <dcterms:modified xsi:type="dcterms:W3CDTF">2021-02-13T20:58:00Z</dcterms:modified>
</cp:coreProperties>
</file>